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A3548C88-E270-6B4C-9477-787B8355E0C4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CUMV data" sheetId="1" r:id="rId1"/>
    <sheet name="ListPrint" sheetId="2" r:id="rId2"/>
  </sheets>
  <definedNames>
    <definedName name="_xlnm._FilterDatabase" localSheetId="0" hidden="1">'CUMV data'!$B$1:$W$1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52" i="1" l="1"/>
  <c r="S53" i="1"/>
  <c r="S54" i="1"/>
  <c r="S55" i="1"/>
  <c r="S61" i="1"/>
  <c r="S62" i="1"/>
  <c r="S63" i="1"/>
  <c r="S64" i="1"/>
  <c r="S65" i="1"/>
  <c r="S67" i="1"/>
  <c r="S68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4" i="1"/>
  <c r="S85" i="1"/>
  <c r="S86" i="1"/>
  <c r="S87" i="1"/>
  <c r="S88" i="1"/>
  <c r="S89" i="1"/>
  <c r="S90" i="1"/>
  <c r="S91" i="1"/>
  <c r="S92" i="1"/>
  <c r="S93" i="1"/>
  <c r="S95" i="1"/>
  <c r="S96" i="1"/>
  <c r="S97" i="1"/>
  <c r="S98" i="1"/>
  <c r="S99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56" i="1"/>
  <c r="S57" i="1"/>
  <c r="S58" i="1"/>
  <c r="S59" i="1"/>
  <c r="S60" i="1"/>
  <c r="S3" i="1"/>
  <c r="S4" i="1"/>
  <c r="S5" i="1"/>
  <c r="S6" i="1"/>
  <c r="S7" i="1"/>
  <c r="S8" i="1"/>
  <c r="S9" i="1"/>
  <c r="S10" i="1"/>
  <c r="S12" i="1"/>
  <c r="S14" i="1"/>
  <c r="S16" i="1"/>
  <c r="S17" i="1"/>
  <c r="S18" i="1"/>
  <c r="S20" i="1"/>
  <c r="S21" i="1"/>
  <c r="S23" i="1"/>
  <c r="S24" i="1"/>
  <c r="S25" i="1"/>
  <c r="S26" i="1"/>
  <c r="S27" i="1"/>
  <c r="S28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1" i="1"/>
  <c r="S2" i="1"/>
</calcChain>
</file>

<file path=xl/sharedStrings.xml><?xml version="1.0" encoding="utf-8"?>
<sst xmlns="http://schemas.openxmlformats.org/spreadsheetml/2006/main" count="23706" uniqueCount="9888">
  <si>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</si>
  <si>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</si>
  <si>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</si>
  <si>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</si>
  <si>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</si>
  <si>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</si>
  <si>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</si>
  <si>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</si>
  <si>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</si>
  <si>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</si>
  <si>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</si>
  <si>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</si>
  <si>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</si>
  <si>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</si>
  <si>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</si>
  <si>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</si>
  <si>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</si>
  <si>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</si>
  <si>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</si>
  <si>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</si>
  <si>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</si>
  <si>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</si>
  <si>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</si>
  <si>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</si>
  <si>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</si>
  <si>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</si>
  <si>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</si>
  <si>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</si>
  <si>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</si>
  <si>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</si>
  <si>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</si>
  <si>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</si>
  <si>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</si>
  <si>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</si>
  <si>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</si>
  <si>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</si>
  <si>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</si>
  <si>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</si>
  <si>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</si>
  <si>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</si>
  <si>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</si>
  <si>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</si>
  <si>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</si>
  <si>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</si>
  <si>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</si>
  <si>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</si>
  <si>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</si>
  <si>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</si>
  <si>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</si>
  <si>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</si>
  <si>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</si>
  <si>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</si>
  <si>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</si>
  <si>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</si>
  <si>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</si>
  <si>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</si>
  <si>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</si>
  <si>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</si>
  <si>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</si>
  <si>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</si>
  <si>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</si>
  <si>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</si>
  <si>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</si>
  <si>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</si>
  <si>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</si>
  <si>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</si>
  <si>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</si>
  <si>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</si>
  <si>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</si>
  <si>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</si>
  <si>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</si>
  <si>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</si>
  <si>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</si>
  <si>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</si>
  <si>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</si>
  <si>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</si>
  <si>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</si>
  <si>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</si>
  <si>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</si>
  <si>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</si>
  <si>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</si>
  <si>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</si>
  <si>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</si>
  <si>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</si>
  <si>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</si>
  <si>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</si>
  <si>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</si>
  <si>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</si>
  <si>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</si>
  <si>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</si>
  <si>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</si>
  <si>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</si>
  <si>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</si>
  <si>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</si>
  <si>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</si>
  <si>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</si>
  <si>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</si>
  <si>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</si>
  <si>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</si>
  <si>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</si>
  <si>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</si>
  <si>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</si>
  <si>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</si>
  <si>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</si>
  <si>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</si>
  <si>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</si>
  <si>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</si>
  <si>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</si>
  <si>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</si>
  <si>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</si>
  <si>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</si>
  <si>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</si>
  <si>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</si>
  <si>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</si>
  <si>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</si>
  <si>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</si>
  <si>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</si>
  <si>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</si>
  <si>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</si>
  <si>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</si>
  <si>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</si>
  <si>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</si>
  <si>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</si>
  <si>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</si>
  <si>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</si>
  <si>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</si>
  <si>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</si>
  <si>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</si>
  <si>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</si>
  <si>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</si>
  <si>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</si>
  <si>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</si>
  <si>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</si>
  <si>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</si>
  <si>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</si>
  <si>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</si>
  <si>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</si>
  <si>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</si>
  <si>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</si>
  <si>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</si>
  <si>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</si>
  <si>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</si>
  <si>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</si>
  <si>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</si>
  <si>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</si>
  <si>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</si>
  <si>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</si>
  <si>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</si>
  <si>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</si>
  <si>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</si>
  <si>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</si>
  <si>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</si>
  <si>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</si>
  <si>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</si>
  <si>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</si>
  <si>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</si>
  <si>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</si>
  <si>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</si>
  <si>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</si>
  <si>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</si>
  <si>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</si>
  <si>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</si>
  <si>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</si>
  <si>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</si>
  <si>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</si>
  <si>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</si>
  <si>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</si>
  <si>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</si>
  <si>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</si>
  <si>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</si>
  <si>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</si>
  <si>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</si>
  <si>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</si>
  <si>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</si>
  <si>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</si>
  <si>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</si>
  <si>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</si>
  <si>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</si>
  <si>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</si>
  <si>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</si>
  <si>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</si>
  <si>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</si>
  <si>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</si>
  <si>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</si>
  <si>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</si>
  <si>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</si>
  <si>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</si>
  <si>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</si>
  <si>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</si>
  <si>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</si>
  <si>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</si>
  <si>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</si>
  <si>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</si>
  <si>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</si>
  <si>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</si>
  <si>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</si>
  <si>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</si>
  <si>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</si>
  <si>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</si>
  <si>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</si>
  <si>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</si>
  <si>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</si>
  <si>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</si>
  <si>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</si>
  <si>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</si>
  <si>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</si>
  <si>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</si>
  <si>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</si>
  <si>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</si>
  <si>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</si>
  <si>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</si>
  <si>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</si>
  <si>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</si>
  <si>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</si>
  <si>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</si>
  <si>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</si>
  <si>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</si>
  <si>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</si>
  <si>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</si>
  <si>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</si>
  <si>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</si>
  <si>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</si>
  <si>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</si>
  <si>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</si>
  <si>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</si>
  <si>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</si>
  <si>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</si>
  <si>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</si>
  <si>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</si>
  <si>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</si>
  <si>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</si>
  <si>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</si>
  <si>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</si>
  <si>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</si>
  <si>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</si>
  <si>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</si>
  <si>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</si>
  <si>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</si>
  <si>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</si>
  <si>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</si>
  <si>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</si>
  <si>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</si>
  <si>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</si>
  <si>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</si>
  <si>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</si>
  <si>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</si>
  <si>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</si>
  <si>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</si>
  <si>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</si>
  <si>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</si>
  <si>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</si>
  <si>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</si>
  <si>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</si>
  <si>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</si>
  <si>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</si>
  <si>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</si>
  <si>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</si>
  <si>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</si>
  <si>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</si>
  <si>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</si>
  <si>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</si>
  <si>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</si>
  <si>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</si>
  <si>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</si>
  <si>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</si>
  <si>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</si>
  <si>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</si>
  <si>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</si>
  <si>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</si>
  <si>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</si>
  <si>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</si>
  <si>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</si>
  <si>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</si>
  <si>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</si>
  <si>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</si>
  <si>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</si>
  <si>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</si>
  <si>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</si>
  <si>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</si>
  <si>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</si>
  <si>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</si>
  <si>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</si>
  <si>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</si>
  <si>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</si>
  <si>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</si>
  <si>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</si>
  <si>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</si>
  <si>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</si>
  <si>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</si>
  <si>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</si>
  <si>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</si>
  <si>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</si>
  <si>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</si>
  <si>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</si>
  <si>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</si>
  <si>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</si>
  <si>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</si>
  <si>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</si>
  <si>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</si>
  <si>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</si>
  <si>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</si>
  <si>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</si>
  <si>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</si>
  <si>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</si>
  <si>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</si>
  <si>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</si>
  <si>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</si>
  <si>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</si>
  <si>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</si>
  <si>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</si>
  <si>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</si>
  <si>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</si>
  <si>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</si>
  <si>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</si>
  <si>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</si>
  <si>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</si>
  <si>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</si>
  <si>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</si>
  <si>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</si>
  <si>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</si>
  <si>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</si>
  <si>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</si>
  <si>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</si>
  <si>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</si>
  <si>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</si>
  <si>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</si>
  <si>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</si>
  <si>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</si>
  <si>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</si>
  <si>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</si>
  <si>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</si>
  <si>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</si>
  <si>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</si>
  <si>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</si>
  <si>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</si>
  <si>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</si>
  <si>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</si>
  <si>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</si>
  <si>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</si>
  <si>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</si>
  <si>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</si>
  <si>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</si>
  <si>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</si>
  <si>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</si>
  <si>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</si>
  <si>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</si>
  <si>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</si>
  <si>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</si>
  <si>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</si>
  <si>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</si>
  <si>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</si>
  <si>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</si>
  <si>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</si>
  <si>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</si>
  <si>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</si>
  <si>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</si>
  <si>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</si>
  <si>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</si>
  <si>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</si>
  <si>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</si>
  <si>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</si>
  <si>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</si>
  <si>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</si>
  <si>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</si>
  <si>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</si>
  <si>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</si>
  <si>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</si>
  <si>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</si>
  <si>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</si>
  <si>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</si>
  <si>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</si>
  <si>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</si>
  <si>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</si>
  <si>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</si>
  <si>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</si>
  <si>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</si>
  <si>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</si>
  <si>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</si>
  <si>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</si>
  <si>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</si>
  <si>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</si>
  <si>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</si>
  <si>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</si>
  <si>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</si>
  <si>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</si>
  <si>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</si>
  <si>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</si>
  <si>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</si>
  <si>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</si>
  <si>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</si>
  <si>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</si>
  <si>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</si>
  <si>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</si>
  <si>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</si>
  <si>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</si>
  <si>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</si>
  <si>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</si>
  <si>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</si>
  <si>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</si>
  <si>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</si>
  <si>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</si>
  <si>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</si>
  <si>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</si>
  <si>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</si>
  <si>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</si>
  <si>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</si>
  <si>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</si>
  <si>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</si>
  <si>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</si>
  <si>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</si>
  <si>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</si>
  <si>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</si>
  <si>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</si>
  <si>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</si>
  <si>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</si>
  <si>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</si>
  <si>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</si>
  <si>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</si>
  <si>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</si>
  <si>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</si>
  <si>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</si>
  <si>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</si>
  <si>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</si>
  <si>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</si>
  <si>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</si>
  <si>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</si>
  <si>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</si>
  <si>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</si>
  <si>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</si>
  <si>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</si>
  <si>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</si>
  <si>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</si>
  <si>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</si>
  <si>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</si>
  <si>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</si>
  <si>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</si>
  <si>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</si>
  <si>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</si>
  <si>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</si>
  <si>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</si>
  <si>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</si>
  <si>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</si>
  <si>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</si>
  <si>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</si>
  <si>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</si>
  <si>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</si>
  <si>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</si>
  <si>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</si>
  <si>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</si>
  <si>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</si>
  <si>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</si>
  <si>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</si>
  <si>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</si>
  <si>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</si>
  <si>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</si>
  <si>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</si>
  <si>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</si>
  <si>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</si>
  <si>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</si>
  <si>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</si>
  <si>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</si>
  <si>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</si>
  <si>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</si>
  <si>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</si>
  <si>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</si>
  <si>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</si>
  <si>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</si>
  <si>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</si>
  <si>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</si>
  <si>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</si>
  <si>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</si>
  <si>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</si>
  <si>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</si>
  <si>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</si>
  <si>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</si>
  <si>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</si>
  <si>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</si>
  <si>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</si>
  <si>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</si>
  <si>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</si>
  <si>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</si>
  <si>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</si>
  <si>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</si>
  <si>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</si>
  <si>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</si>
  <si>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</si>
  <si>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</si>
  <si>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</si>
  <si>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</si>
  <si>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</si>
  <si>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</si>
  <si>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</si>
  <si>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</si>
  <si>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</si>
  <si>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</si>
  <si>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</si>
  <si>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</si>
  <si>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</si>
  <si>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</si>
  <si>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</si>
  <si>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</si>
  <si>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</si>
  <si>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</si>
  <si>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</si>
  <si>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</si>
  <si>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</si>
  <si>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</si>
  <si>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</si>
  <si>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</si>
  <si>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</si>
  <si>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</si>
  <si>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</si>
  <si>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</si>
  <si>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</si>
  <si>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</si>
  <si>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</si>
  <si>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</si>
  <si>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</si>
  <si>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</si>
  <si>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</si>
  <si>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</si>
  <si>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</si>
  <si>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</si>
  <si>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</si>
  <si>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</si>
  <si>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</si>
  <si>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</si>
  <si>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</si>
  <si>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</si>
  <si>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</si>
  <si>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</si>
  <si>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</si>
  <si>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</si>
  <si>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</si>
  <si>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</si>
  <si>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</si>
  <si>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</si>
  <si>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</si>
  <si>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</si>
  <si>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</si>
  <si>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</si>
  <si>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</si>
  <si>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</si>
  <si>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</si>
  <si>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</si>
  <si>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</si>
  <si>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</si>
  <si>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</si>
  <si>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</si>
  <si>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</si>
  <si>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</si>
  <si>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</si>
  <si>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</si>
  <si>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</si>
  <si>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</si>
  <si>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</si>
  <si>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</si>
  <si>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</si>
  <si>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</si>
  <si>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</si>
  <si>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</si>
  <si>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</si>
  <si>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</si>
  <si>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</si>
  <si>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</si>
  <si>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</si>
  <si>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</si>
  <si>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</si>
  <si>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</si>
  <si>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</si>
  <si>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</si>
  <si>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</si>
  <si>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</si>
  <si>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</si>
  <si>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</si>
  <si>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</si>
  <si>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</si>
  <si>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</si>
  <si>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</si>
  <si>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</si>
  <si>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</si>
  <si>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</si>
  <si>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</si>
  <si>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</si>
  <si>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</si>
  <si>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</si>
  <si>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</si>
  <si>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</si>
  <si>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</si>
  <si>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</si>
  <si>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</si>
  <si>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</si>
  <si>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</si>
  <si>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</si>
  <si>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</si>
  <si>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</si>
  <si>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</si>
  <si>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</si>
  <si>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</si>
  <si>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</si>
  <si>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</si>
  <si>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</si>
  <si>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</si>
  <si>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</si>
  <si>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</si>
  <si>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</si>
  <si>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</si>
  <si>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</si>
  <si>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</si>
  <si>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</si>
  <si>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</si>
  <si>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</si>
  <si>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</si>
  <si>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</si>
  <si>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</si>
  <si>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</si>
  <si>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</si>
  <si>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</si>
  <si>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</si>
  <si>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</si>
  <si>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</si>
  <si>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</si>
  <si>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</si>
  <si>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</si>
  <si>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</si>
  <si>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</si>
  <si>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</si>
  <si>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</si>
  <si>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</si>
  <si>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</si>
  <si>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</si>
  <si>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</si>
  <si>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</si>
  <si>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</si>
  <si>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</si>
  <si>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</si>
  <si>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</si>
  <si>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</si>
  <si>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</si>
  <si>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</si>
  <si>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</si>
  <si>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</si>
  <si>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</si>
  <si>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</si>
  <si>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</si>
  <si>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</si>
  <si>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</si>
  <si>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</si>
  <si>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</si>
  <si>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</si>
  <si>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</si>
  <si>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</si>
  <si>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</si>
  <si>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</si>
  <si>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</si>
  <si>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</si>
  <si>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</si>
  <si>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</si>
  <si>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</si>
  <si>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</si>
  <si>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</si>
  <si>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</si>
  <si>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</si>
  <si>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</si>
  <si>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</si>
  <si>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</si>
  <si>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</si>
  <si>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</si>
  <si>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</si>
  <si>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</si>
  <si>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</si>
  <si>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</si>
  <si>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</si>
  <si>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</si>
  <si>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</si>
  <si>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</si>
  <si>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</si>
  <si>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</si>
  <si>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</si>
  <si>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</si>
  <si>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</si>
  <si>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</si>
  <si>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</si>
  <si>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</si>
  <si>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</si>
  <si>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</si>
  <si>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</si>
  <si>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</si>
  <si>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</si>
  <si>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</si>
  <si>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</si>
  <si>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</si>
  <si>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</si>
  <si>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</si>
  <si>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</si>
  <si>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</si>
  <si>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</si>
  <si>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</si>
  <si>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</si>
  <si>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</si>
  <si>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</si>
  <si>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</si>
  <si>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</si>
  <si>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</si>
  <si>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</si>
  <si>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</si>
  <si>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</si>
  <si>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</si>
  <si>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</si>
  <si>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</si>
  <si>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</si>
  <si>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</si>
  <si>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</si>
  <si>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</si>
  <si>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</si>
  <si>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</si>
  <si>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</si>
  <si>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</si>
  <si>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</si>
  <si>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</si>
  <si>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</si>
  <si>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</si>
  <si>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</si>
  <si>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</si>
  <si>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</si>
  <si>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</si>
  <si>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</si>
  <si>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</si>
  <si>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</si>
  <si>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</si>
  <si>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</si>
  <si>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</si>
  <si>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</si>
  <si>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</si>
  <si>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</si>
  <si>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</si>
  <si>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</si>
  <si>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</si>
  <si>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</si>
  <si>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</si>
  <si>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</si>
  <si>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</si>
  <si>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</si>
  <si>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</si>
  <si>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</si>
  <si>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</si>
  <si>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</si>
  <si>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</si>
  <si>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</si>
  <si>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</si>
  <si>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</si>
  <si>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</si>
  <si>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</si>
  <si>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</si>
  <si>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</si>
  <si>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</si>
  <si>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</si>
  <si>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</si>
  <si>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</si>
  <si>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</si>
  <si>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</si>
  <si>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</si>
  <si>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</si>
  <si>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</si>
  <si>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</si>
  <si>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</si>
  <si>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</si>
  <si>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</si>
  <si>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</si>
  <si>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</si>
  <si>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</si>
  <si>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</si>
  <si>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</si>
  <si>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</si>
  <si>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</si>
  <si>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</si>
  <si>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</si>
  <si>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</si>
  <si>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</si>
  <si>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</si>
  <si>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</si>
  <si>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</si>
  <si>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</si>
  <si>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</si>
  <si>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</si>
  <si>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</si>
  <si>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</si>
  <si>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</si>
  <si>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</si>
  <si>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</si>
  <si>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</si>
  <si>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</si>
  <si>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</si>
  <si>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</si>
  <si>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</si>
  <si>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</si>
  <si>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</si>
  <si>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</si>
  <si>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</si>
  <si>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</si>
  <si>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</si>
  <si>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</si>
  <si>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</si>
  <si>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</si>
  <si>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</si>
  <si>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</si>
  <si>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</si>
  <si>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</si>
  <si>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</si>
  <si>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</si>
  <si>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</si>
  <si>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</si>
  <si>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</si>
  <si>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</si>
  <si>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</si>
  <si>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</si>
  <si>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</si>
  <si>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</si>
  <si>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</si>
  <si>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</si>
  <si>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</si>
  <si>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</si>
  <si>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</si>
  <si>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</si>
  <si>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</si>
  <si>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</si>
  <si>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</si>
  <si>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</si>
  <si>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</si>
  <si>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</si>
  <si>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</si>
  <si>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</si>
  <si>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</si>
  <si>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</si>
  <si>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</si>
  <si>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</si>
  <si>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</si>
  <si>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</si>
  <si>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</si>
  <si>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</si>
  <si>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</si>
  <si>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</si>
  <si>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</si>
  <si>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</si>
  <si>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</si>
  <si>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</si>
  <si>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</si>
  <si>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</si>
  <si>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</si>
  <si>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</si>
  <si>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</si>
  <si>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</si>
  <si>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</si>
  <si>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</si>
  <si>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</si>
  <si>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</si>
  <si>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</si>
  <si>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</si>
  <si>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</si>
  <si>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</si>
  <si>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</si>
  <si>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</si>
  <si>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</si>
  <si>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</si>
  <si>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</si>
  <si>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</si>
  <si>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</si>
  <si>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</si>
  <si>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</si>
  <si>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</si>
  <si>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</si>
  <si>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</si>
  <si>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</si>
  <si>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</si>
  <si>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</si>
  <si>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</si>
  <si>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</si>
  <si>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</si>
  <si>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</si>
  <si>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</si>
  <si>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</si>
  <si>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</si>
  <si>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</si>
  <si>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</si>
  <si>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</si>
  <si>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</si>
  <si>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</si>
  <si>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</si>
  <si>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</si>
  <si>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</si>
  <si>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</si>
  <si>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</si>
  <si>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</si>
  <si>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</si>
  <si>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</si>
  <si>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</si>
  <si>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</si>
  <si>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</si>
  <si>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</si>
  <si>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</si>
  <si>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</si>
  <si>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</si>
  <si>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</si>
  <si>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</si>
  <si>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</si>
  <si>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</si>
  <si>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</si>
  <si>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</si>
  <si>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</si>
  <si>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</si>
  <si>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</si>
  <si>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</si>
  <si>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</si>
  <si>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</si>
  <si>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</si>
  <si>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</si>
  <si>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</si>
  <si>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</si>
  <si>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</si>
  <si>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</si>
  <si>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</si>
  <si>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</si>
  <si>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</si>
  <si>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</si>
  <si>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</si>
  <si>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</si>
  <si>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</si>
  <si>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</si>
  <si>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</si>
  <si>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</si>
  <si>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</si>
  <si>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</si>
  <si>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</si>
  <si>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</si>
  <si>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</si>
  <si>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</si>
  <si>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</si>
  <si>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</si>
  <si>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</si>
  <si>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</si>
  <si>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</si>
  <si>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</si>
  <si>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</si>
  <si>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</si>
  <si>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</si>
  <si>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</si>
  <si>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</si>
  <si>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</si>
  <si>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</si>
  <si>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</si>
  <si>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</si>
  <si>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</si>
  <si>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</si>
  <si>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</si>
  <si>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</si>
  <si>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</si>
  <si>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</si>
  <si>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</si>
  <si>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</si>
  <si>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</si>
  <si>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</si>
  <si>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</si>
  <si>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</si>
  <si>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</si>
  <si>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</si>
  <si>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</si>
  <si>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</si>
  <si>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</si>
  <si>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</si>
  <si>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</si>
  <si>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</si>
  <si>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</si>
  <si>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</si>
  <si>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</si>
  <si>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</si>
  <si>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</si>
  <si>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</si>
  <si>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</si>
  <si>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</si>
  <si>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</si>
  <si>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</si>
  <si>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</si>
  <si>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</si>
  <si>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</si>
  <si>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</si>
  <si>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</si>
  <si>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</si>
  <si>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</si>
  <si>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</si>
  <si>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</si>
  <si>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</si>
  <si>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</si>
  <si>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</si>
  <si>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</si>
  <si>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</si>
  <si>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</si>
  <si>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</si>
  <si>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</si>
  <si>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</si>
  <si>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</si>
  <si>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</si>
  <si>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</si>
  <si>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</si>
  <si>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</si>
  <si>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</si>
  <si>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</si>
  <si>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</si>
  <si>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</si>
  <si>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</si>
  <si>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</si>
  <si>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</si>
  <si>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</si>
  <si>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</si>
  <si>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</si>
  <si>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</si>
  <si>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</si>
  <si>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</si>
  <si>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</si>
  <si>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</si>
  <si>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</si>
  <si>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</si>
  <si>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</si>
  <si>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</si>
  <si>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</si>
  <si>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</si>
  <si>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</si>
  <si>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</si>
  <si>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</si>
  <si>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</si>
  <si>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</si>
  <si>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</si>
  <si>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</si>
  <si>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</si>
  <si>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</si>
  <si>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</si>
  <si>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</si>
  <si>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</si>
  <si>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</si>
  <si>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</si>
  <si>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</si>
  <si>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</si>
  <si>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</si>
  <si>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</si>
  <si>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</si>
  <si>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</si>
  <si>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</si>
  <si>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</si>
  <si>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</si>
  <si>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</si>
  <si>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</si>
  <si>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</si>
  <si>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</si>
  <si>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</si>
  <si>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</si>
  <si>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</si>
  <si>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</si>
  <si>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</si>
  <si>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</si>
  <si>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</si>
  <si>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</si>
  <si>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</si>
  <si>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</si>
  <si>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</si>
  <si>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</si>
  <si>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</si>
  <si>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</si>
  <si>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</si>
  <si>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</si>
  <si>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</si>
  <si>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</si>
  <si>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</si>
  <si>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</si>
  <si>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</si>
  <si>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</si>
  <si>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</si>
  <si>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</si>
  <si>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</si>
  <si>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</si>
  <si>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</si>
  <si>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</si>
  <si>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</si>
  <si>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</si>
  <si>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</si>
  <si>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</si>
  <si>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</si>
  <si>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</si>
  <si>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</si>
  <si>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</si>
  <si>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</si>
  <si>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</si>
  <si>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</si>
  <si>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</si>
  <si>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</si>
  <si>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</si>
  <si>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</si>
  <si>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</si>
  <si>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</si>
  <si>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</si>
  <si>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</si>
  <si>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</si>
  <si>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</si>
  <si>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</si>
  <si>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</si>
  <si>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</si>
  <si>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</si>
  <si>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</si>
  <si>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</si>
  <si>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</si>
  <si>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</si>
  <si>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</si>
  <si>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</si>
  <si>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</si>
  <si>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</si>
  <si>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</si>
  <si>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</si>
  <si>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</si>
  <si>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</si>
  <si>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</si>
  <si>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</si>
  <si>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</si>
  <si>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</si>
  <si>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</si>
  <si>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</si>
  <si>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</si>
  <si>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</si>
  <si>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</si>
  <si>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</si>
  <si>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</si>
  <si>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</si>
  <si>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</si>
  <si>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</si>
  <si>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</si>
  <si>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</si>
  <si>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</si>
  <si>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</si>
  <si>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</si>
  <si>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</si>
  <si>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</si>
  <si>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</si>
  <si>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</si>
  <si>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</si>
  <si>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</si>
  <si>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</si>
  <si>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</si>
  <si>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</si>
  <si>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</si>
  <si>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</si>
  <si>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</si>
  <si>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</si>
  <si>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</si>
  <si>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</si>
  <si>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</si>
  <si>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</si>
  <si>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</si>
  <si>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</si>
  <si>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</si>
  <si>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</si>
  <si>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</si>
  <si>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</si>
  <si>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</si>
  <si>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</si>
  <si>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</si>
  <si>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</si>
  <si>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</si>
  <si>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</si>
  <si>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</si>
  <si>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</si>
  <si>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</si>
  <si>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</si>
  <si>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</si>
  <si>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</si>
  <si>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</si>
  <si>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</si>
  <si>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</si>
  <si>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</si>
  <si>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</si>
  <si>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</si>
  <si>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</si>
  <si>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</si>
  <si>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</si>
  <si>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</si>
  <si>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</si>
  <si>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</si>
  <si>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</si>
  <si>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</si>
  <si>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</si>
  <si>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</si>
  <si>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</si>
  <si>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</si>
  <si>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</si>
  <si>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</si>
  <si>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</si>
  <si>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</si>
  <si>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</si>
  <si>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</si>
  <si>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</si>
  <si>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</si>
  <si>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</si>
  <si>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</si>
  <si>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</si>
  <si>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</si>
  <si>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</si>
  <si>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</si>
  <si>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</si>
  <si>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</si>
  <si>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</si>
  <si>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</si>
  <si>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</si>
  <si>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</si>
  <si>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</si>
  <si>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</si>
  <si>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</si>
  <si>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</si>
  <si>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</si>
  <si>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</si>
  <si>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</si>
  <si>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</si>
  <si>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</si>
  <si>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</si>
  <si>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</si>
  <si>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</si>
  <si>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</si>
  <si>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</si>
  <si>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</si>
  <si>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</si>
  <si>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</si>
  <si>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</si>
  <si>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</si>
  <si>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</si>
  <si>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</si>
  <si>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</si>
  <si>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</si>
  <si>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</si>
  <si>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</si>
  <si>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</si>
  <si>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</si>
  <si>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</si>
  <si>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</si>
  <si>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</si>
  <si>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</si>
  <si>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</si>
  <si>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</si>
  <si>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</si>
  <si>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</si>
  <si>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</si>
  <si>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</si>
  <si>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</si>
  <si>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</si>
  <si>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</si>
  <si>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</si>
  <si>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</si>
  <si>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</si>
  <si>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</si>
  <si>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</si>
  <si>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</si>
  <si>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</si>
  <si>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</si>
  <si>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</si>
  <si>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</si>
  <si>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</si>
  <si>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</si>
  <si>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</si>
  <si>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</si>
  <si>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</si>
  <si>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</si>
  <si>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</si>
  <si>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</si>
  <si>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</si>
  <si>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</si>
  <si>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</si>
  <si>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</si>
  <si>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</si>
  <si>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</si>
  <si>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</si>
  <si>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</si>
  <si>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</si>
  <si>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</si>
  <si>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</si>
  <si>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</si>
  <si>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</si>
  <si>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</si>
  <si>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</si>
  <si>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</si>
  <si>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</si>
  <si>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</si>
  <si>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</si>
  <si>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</si>
  <si>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</si>
  <si>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</si>
  <si>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</si>
  <si>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</si>
  <si>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</si>
  <si>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</si>
  <si>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</si>
  <si>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</si>
  <si>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</si>
  <si>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</si>
  <si>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</si>
  <si>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</si>
  <si>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</si>
  <si>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</si>
  <si>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</si>
  <si>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</si>
  <si>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</si>
  <si>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</si>
  <si>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</si>
  <si>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</si>
  <si>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</si>
  <si>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</si>
  <si>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</si>
  <si>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</si>
  <si>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</si>
  <si>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</si>
  <si>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</si>
  <si>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</si>
  <si>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</si>
  <si>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</si>
  <si>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</si>
  <si>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</si>
  <si>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</si>
  <si>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</si>
  <si>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</si>
  <si>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</si>
  <si>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</si>
  <si>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</si>
  <si>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</si>
  <si>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</si>
  <si>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</si>
  <si>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</si>
  <si>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</si>
  <si>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</si>
  <si>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</si>
  <si>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</si>
  <si>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</si>
  <si>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</si>
  <si>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</si>
  <si>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</si>
  <si>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</si>
  <si>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</si>
  <si>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</si>
  <si>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</si>
  <si>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</si>
  <si>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</si>
  <si>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</si>
  <si>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</si>
  <si>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</si>
  <si>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</si>
  <si>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</si>
  <si>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</si>
  <si>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</si>
  <si>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</si>
  <si>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</si>
  <si>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</si>
  <si>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</si>
  <si>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</si>
  <si>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</si>
  <si>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</si>
  <si>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</si>
  <si>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</si>
  <si>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</si>
  <si>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</si>
  <si>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</si>
  <si>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</si>
  <si>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</si>
  <si>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</si>
  <si>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</si>
  <si>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</si>
  <si>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</si>
  <si>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</si>
  <si>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</si>
  <si>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</si>
  <si>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</si>
  <si>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</si>
  <si>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</si>
  <si>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</si>
  <si>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</si>
  <si>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</si>
  <si>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</si>
  <si>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</si>
  <si>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</si>
  <si>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</si>
  <si>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</si>
  <si>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</si>
  <si>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</si>
  <si>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</si>
  <si>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</si>
  <si>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</si>
  <si>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</si>
  <si>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</si>
  <si>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</si>
  <si>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</si>
  <si>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</si>
  <si>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</si>
  <si>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</si>
  <si>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</si>
  <si>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</si>
  <si>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</si>
  <si>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</si>
  <si>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</si>
  <si>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</si>
  <si>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</si>
  <si>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</si>
  <si>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</si>
  <si>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</si>
  <si>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</si>
  <si>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</si>
  <si>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</si>
  <si>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</si>
  <si>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</si>
  <si>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</si>
  <si>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</si>
  <si>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</si>
  <si>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</si>
  <si>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</si>
  <si>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</si>
  <si>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</si>
  <si>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</si>
  <si>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</si>
  <si>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</si>
  <si>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</si>
  <si>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</si>
  <si>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</si>
  <si>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</si>
  <si>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</si>
  <si>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</si>
  <si>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</si>
  <si>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</si>
  <si>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</si>
  <si>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</si>
  <si>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</si>
  <si>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</si>
  <si>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</si>
  <si>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</si>
  <si>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</si>
  <si>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</si>
  <si>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</si>
  <si>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</si>
  <si>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</si>
  <si>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</si>
  <si>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</si>
  <si>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</si>
  <si>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</si>
  <si>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</si>
  <si>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</si>
  <si>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</si>
  <si>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</si>
  <si>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</si>
  <si>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</si>
  <si>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</si>
  <si>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</si>
  <si>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</si>
  <si>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</si>
  <si>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</si>
  <si>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</si>
  <si>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</si>
  <si>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</si>
  <si>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</si>
  <si>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</si>
  <si>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</si>
  <si>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</si>
  <si>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</si>
  <si>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</si>
  <si>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</si>
  <si>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</si>
  <si>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</si>
  <si>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</si>
  <si>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</si>
  <si>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</si>
  <si>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</si>
  <si>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</si>
  <si>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</si>
  <si>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</si>
  <si>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</si>
  <si>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</si>
  <si>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</si>
  <si>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</si>
  <si>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</si>
  <si>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</si>
  <si>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</si>
  <si>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</si>
  <si>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</si>
  <si>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</si>
  <si>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</si>
  <si>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</si>
  <si>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</si>
  <si>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</si>
  <si>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</si>
  <si>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</si>
  <si>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</si>
  <si>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</si>
  <si>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</si>
  <si>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</si>
  <si>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</si>
  <si>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</si>
  <si>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</si>
  <si>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</si>
  <si>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</si>
  <si>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</si>
  <si>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</si>
  <si>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</si>
  <si>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</si>
  <si>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</si>
  <si>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</si>
  <si>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</si>
  <si>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</si>
  <si>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</si>
  <si>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</si>
  <si>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</si>
  <si>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</si>
  <si>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</si>
  <si>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</si>
  <si>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</si>
  <si>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</si>
  <si>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</si>
  <si>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</si>
  <si>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</si>
  <si>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</si>
  <si>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</si>
  <si>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</si>
  <si>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</si>
  <si>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</si>
  <si>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</si>
  <si>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</si>
  <si>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</si>
  <si>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</si>
  <si>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</si>
  <si>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</si>
  <si>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</si>
  <si>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</si>
  <si>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</si>
  <si>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</si>
  <si>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</si>
  <si>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</si>
  <si>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</si>
  <si>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</si>
  <si>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</si>
  <si>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</si>
  <si>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</si>
  <si>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</si>
  <si>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</si>
  <si>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</si>
  <si>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</si>
  <si>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</si>
  <si>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</si>
  <si>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</si>
  <si>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</si>
  <si>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</si>
  <si>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</si>
  <si>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</si>
  <si>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</si>
  <si>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</si>
  <si>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</si>
  <si>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</si>
  <si>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</si>
  <si>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</si>
  <si>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</si>
  <si>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</si>
  <si>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</si>
  <si>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</si>
  <si>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</si>
  <si>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</si>
  <si>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</si>
  <si>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</si>
  <si>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</si>
  <si>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</si>
  <si>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</si>
  <si>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</si>
  <si>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</si>
  <si>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</si>
  <si>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</si>
  <si>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</si>
  <si>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</si>
  <si>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</si>
  <si>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</si>
  <si>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</si>
  <si>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</si>
  <si>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</si>
  <si>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</si>
  <si>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</si>
  <si>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</si>
  <si>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</si>
  <si>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</si>
  <si>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</si>
  <si>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</si>
  <si>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</si>
  <si>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</si>
  <si>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</si>
  <si>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</si>
  <si>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</si>
  <si>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</si>
  <si>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</si>
  <si>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</si>
  <si>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</si>
  <si>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</si>
  <si>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</si>
  <si>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</si>
  <si>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</si>
  <si>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</si>
  <si>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</si>
  <si>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</si>
  <si>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</si>
  <si>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</si>
  <si>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</si>
  <si>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</si>
  <si>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</si>
  <si>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</si>
  <si>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</si>
  <si>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</si>
  <si>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</si>
  <si>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</si>
  <si>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</si>
  <si>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</si>
  <si>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</si>
  <si>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</si>
  <si>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</si>
  <si>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</si>
  <si>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</si>
  <si>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</si>
  <si>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</si>
  <si>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</si>
  <si>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</si>
  <si>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</si>
  <si>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</si>
  <si>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</si>
  <si>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</si>
  <si>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</si>
  <si>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</si>
  <si>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</si>
  <si>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</si>
  <si>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</si>
  <si>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</si>
  <si>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</si>
  <si>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</si>
  <si>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</si>
  <si>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</si>
  <si>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</si>
  <si>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</si>
  <si>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</si>
  <si>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</si>
  <si>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</si>
  <si>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</si>
  <si>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</si>
  <si>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</si>
  <si>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</si>
  <si>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</si>
  <si>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</si>
  <si>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</si>
  <si>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</si>
  <si>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</si>
  <si>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</si>
  <si>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</si>
  <si>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</si>
  <si>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</si>
  <si>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</si>
  <si>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</si>
  <si>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</si>
  <si>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</si>
  <si>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</si>
  <si>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</si>
  <si>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</si>
  <si>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</si>
  <si>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</si>
  <si>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</si>
  <si>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</si>
  <si>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</si>
  <si>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</si>
  <si>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</si>
  <si>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</si>
  <si>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</si>
  <si>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</si>
  <si>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</si>
  <si>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</si>
  <si>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</si>
  <si>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</si>
  <si>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</si>
  <si>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</si>
  <si>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</si>
  <si>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</si>
  <si>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</si>
  <si>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</si>
  <si>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</si>
  <si>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</si>
  <si>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</si>
  <si>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</si>
  <si>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</si>
  <si>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</si>
  <si>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</si>
  <si>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</si>
  <si>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</si>
  <si>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</si>
  <si>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</si>
  <si>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</si>
  <si>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</si>
  <si>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</si>
  <si>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</si>
  <si>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</si>
  <si>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</si>
  <si>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</si>
  <si>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</si>
  <si>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</si>
  <si>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</si>
  <si>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</si>
  <si>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</si>
  <si>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</si>
  <si>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</si>
  <si>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</si>
  <si>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</si>
  <si>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</si>
  <si>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</si>
  <si>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</si>
  <si>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</si>
  <si>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</si>
  <si>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</si>
  <si>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</si>
  <si>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</si>
  <si>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</si>
  <si>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</si>
  <si>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</si>
  <si>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</si>
  <si>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</si>
  <si>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</si>
  <si>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</si>
  <si>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</si>
  <si>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</si>
  <si>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</si>
  <si>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</si>
  <si>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</si>
  <si>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</si>
  <si>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</si>
  <si>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</si>
  <si>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</si>
  <si>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</si>
  <si>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</si>
  <si>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</si>
  <si>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</si>
  <si>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</si>
  <si>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</si>
  <si>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</si>
  <si>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</si>
  <si>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</si>
  <si>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</si>
  <si>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</si>
  <si>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</si>
  <si>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</si>
  <si>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</si>
  <si>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</si>
  <si>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</si>
  <si>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</si>
  <si>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</si>
  <si>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</si>
  <si>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</si>
  <si>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</si>
  <si>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</si>
  <si>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</si>
  <si>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</si>
  <si>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</si>
  <si>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</si>
  <si>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</si>
  <si>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</si>
  <si>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</si>
  <si>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</si>
  <si>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</si>
  <si>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</si>
  <si>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</si>
  <si>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</si>
  <si>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</si>
  <si>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</si>
  <si>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</si>
  <si>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</si>
  <si>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</si>
  <si>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</si>
  <si>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</si>
  <si>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</si>
  <si>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</si>
  <si>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</si>
  <si>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</si>
  <si>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</si>
  <si>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</si>
  <si>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</si>
  <si>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</si>
  <si>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</si>
  <si>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</si>
  <si>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</si>
  <si>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</si>
  <si>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</si>
  <si>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</si>
  <si>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</si>
  <si>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</si>
  <si>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</si>
  <si>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</si>
  <si>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</si>
  <si>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</si>
  <si>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</si>
  <si>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</si>
  <si>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</si>
  <si>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</si>
  <si>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</si>
  <si>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</si>
  <si>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</si>
  <si>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</si>
  <si>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</si>
  <si>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</si>
  <si>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</si>
  <si>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</si>
  <si>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</si>
  <si>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</si>
  <si>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</si>
  <si>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</si>
  <si>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</si>
  <si>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</si>
  <si>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</si>
  <si>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</si>
  <si>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</si>
  <si>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</si>
  <si>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</si>
  <si>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</si>
  <si>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</si>
  <si>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</si>
  <si>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</si>
  <si>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</si>
  <si>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</si>
  <si>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</si>
  <si>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</si>
  <si>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</si>
  <si>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</si>
  <si>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</si>
  <si>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</si>
  <si>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</si>
  <si>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</si>
  <si>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</si>
  <si>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</si>
  <si>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</si>
  <si>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</si>
  <si>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</si>
  <si>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</si>
  <si>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</si>
  <si>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</si>
  <si>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</si>
  <si>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</si>
  <si>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</si>
  <si>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</si>
  <si>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</si>
  <si>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</si>
  <si>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</si>
  <si>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</si>
  <si>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</si>
  <si>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</si>
  <si>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</si>
  <si>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</si>
  <si>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</si>
  <si>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</si>
  <si>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</si>
  <si>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</si>
  <si>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</si>
  <si>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</si>
  <si>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</si>
  <si>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</si>
  <si>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</si>
  <si>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</si>
  <si>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</si>
  <si>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</si>
  <si>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</si>
  <si>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</si>
  <si>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</si>
  <si>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</si>
  <si>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</si>
  <si>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</si>
  <si>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</si>
  <si>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</si>
  <si>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</si>
  <si>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</si>
  <si>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</si>
  <si>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</si>
  <si>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</si>
  <si>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</si>
  <si>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</si>
  <si>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</si>
  <si>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</si>
  <si>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</si>
  <si>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</si>
  <si>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</si>
  <si>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</si>
  <si>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</si>
  <si>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</si>
  <si>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</si>
  <si>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</si>
  <si>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</si>
  <si>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</si>
  <si>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</si>
  <si>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</si>
  <si>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</si>
  <si>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</si>
  <si>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</si>
  <si>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</si>
  <si>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</si>
  <si>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</si>
  <si>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</si>
  <si>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</si>
  <si>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</si>
  <si>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</si>
  <si>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</si>
  <si>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</si>
  <si>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</si>
  <si>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</si>
  <si>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</si>
  <si>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</si>
  <si>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</si>
  <si>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</si>
  <si>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</si>
  <si>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</si>
  <si>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</si>
  <si>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</si>
  <si>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</si>
  <si>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</si>
  <si>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</si>
  <si>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</si>
  <si>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</si>
  <si>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</si>
  <si>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</si>
  <si>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</si>
  <si>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</si>
  <si>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</si>
  <si>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</si>
  <si>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</si>
  <si>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</si>
  <si>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</si>
  <si>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</si>
  <si>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</si>
  <si>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</si>
  <si>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</si>
  <si>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</si>
  <si>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</si>
  <si>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</si>
  <si>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</si>
  <si>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</si>
  <si>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</si>
  <si>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</si>
  <si>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</si>
  <si>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</si>
  <si>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</si>
  <si>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</si>
  <si>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</si>
  <si>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</si>
  <si>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</si>
  <si>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</si>
  <si>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</si>
  <si>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</si>
  <si>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</si>
  <si>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</si>
  <si>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</si>
  <si>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</si>
  <si>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</si>
  <si>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</si>
  <si>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</si>
  <si>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</si>
  <si>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</si>
  <si>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</si>
  <si>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</si>
  <si>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</si>
  <si>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</si>
  <si>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</si>
  <si>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</si>
  <si>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</si>
  <si>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</si>
  <si>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</si>
  <si>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</si>
  <si>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</si>
  <si>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</si>
  <si>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</si>
  <si>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</si>
  <si>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</si>
  <si>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</si>
  <si>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</si>
  <si>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</si>
  <si>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</si>
  <si>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</si>
  <si>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</si>
  <si>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</si>
  <si>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</si>
  <si>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</si>
  <si>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</si>
  <si>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</si>
  <si>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</si>
  <si>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</si>
  <si>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</si>
  <si>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</si>
  <si>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</si>
  <si>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</si>
  <si>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</si>
  <si>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</si>
  <si>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</si>
  <si>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</si>
  <si>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</si>
  <si>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</si>
  <si>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</si>
  <si>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</si>
  <si>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</si>
  <si>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</si>
  <si>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</si>
  <si>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</si>
  <si>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</si>
  <si>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</si>
  <si>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</si>
  <si>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</si>
  <si>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</si>
  <si>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</si>
  <si>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</si>
  <si>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</si>
  <si>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</si>
  <si>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</si>
  <si>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</si>
  <si>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</si>
  <si>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</si>
  <si>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</si>
  <si>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</si>
  <si>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</si>
  <si>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</si>
  <si>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</si>
  <si>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</si>
  <si>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</si>
  <si>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</si>
  <si>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</si>
  <si>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</si>
  <si>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</si>
  <si>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</si>
  <si>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</si>
  <si>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</si>
  <si>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</si>
  <si>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</si>
  <si>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</si>
  <si>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</si>
  <si>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</si>
  <si>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</si>
  <si>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</si>
  <si>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</si>
  <si>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</si>
  <si>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</si>
  <si>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</si>
  <si>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</si>
  <si>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</si>
  <si>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</si>
  <si>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</si>
  <si>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</si>
  <si>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</si>
  <si>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</si>
  <si>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</si>
  <si>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</si>
  <si>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</si>
  <si>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</si>
  <si>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</si>
  <si>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</si>
  <si>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</si>
  <si>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</si>
  <si>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</si>
  <si>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</si>
  <si>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</si>
  <si>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</si>
  <si>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</si>
  <si>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</si>
  <si>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</si>
  <si>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</si>
  <si>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</si>
  <si>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</si>
  <si>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</si>
  <si>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</si>
  <si>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</si>
  <si>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</si>
  <si>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</si>
  <si>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</si>
  <si>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</si>
  <si>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</si>
  <si>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</si>
  <si>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</si>
  <si>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</si>
  <si>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</si>
  <si>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</si>
  <si>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</si>
  <si>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</si>
  <si>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</si>
  <si>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</si>
  <si>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</si>
  <si>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</si>
  <si>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</si>
  <si>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</si>
  <si>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</si>
  <si>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</si>
  <si>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</si>
  <si>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</si>
  <si>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</si>
  <si>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</si>
  <si>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</si>
  <si>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</si>
  <si>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</si>
  <si>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</si>
  <si>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</si>
  <si>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</si>
  <si>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</si>
  <si>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</si>
  <si>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</si>
  <si>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</si>
  <si>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</si>
  <si>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</si>
  <si>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</si>
  <si>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</si>
  <si>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</si>
  <si>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</si>
  <si>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</si>
  <si>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</si>
  <si>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</si>
  <si>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</si>
  <si>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</si>
  <si>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</si>
  <si>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</si>
  <si>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</si>
  <si>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</si>
  <si>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</si>
  <si>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</si>
  <si>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</si>
  <si>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</si>
  <si>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</si>
  <si>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</si>
  <si>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</si>
  <si>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</si>
  <si>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</si>
  <si>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</si>
  <si>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</si>
  <si>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</si>
  <si>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</si>
  <si>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</si>
  <si>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</si>
  <si>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</si>
  <si>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</si>
  <si>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</si>
  <si>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</si>
  <si>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</si>
  <si>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</si>
  <si>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</si>
  <si>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</si>
  <si>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</si>
  <si>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</si>
  <si>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</si>
  <si>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</si>
  <si>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</si>
  <si>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</si>
  <si>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</si>
  <si>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</si>
  <si>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</si>
  <si>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</si>
  <si>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</si>
  <si>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</si>
  <si>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</si>
  <si>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</si>
  <si>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</si>
  <si>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</si>
  <si>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</si>
  <si>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</si>
  <si>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</si>
  <si>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</si>
  <si>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</si>
  <si>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</si>
  <si>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</si>
  <si>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</si>
  <si>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</si>
  <si>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</si>
  <si>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</si>
  <si>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</si>
  <si>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</si>
  <si>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</si>
  <si>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</si>
  <si>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</si>
  <si>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</si>
  <si>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</si>
  <si>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</si>
  <si>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</si>
  <si>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</si>
  <si>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</si>
  <si>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</si>
  <si>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</si>
  <si>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</si>
  <si>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</si>
  <si>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</si>
  <si>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</si>
  <si>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</si>
  <si>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</si>
  <si>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</si>
  <si>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</si>
  <si>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</si>
  <si>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</si>
  <si>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</si>
  <si>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</si>
  <si>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</si>
  <si>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</si>
  <si>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</si>
  <si>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</si>
  <si>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</si>
  <si>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</si>
  <si>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</si>
  <si>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</si>
  <si>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</si>
  <si>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</si>
  <si>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</si>
  <si>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</si>
  <si>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</si>
  <si>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</si>
  <si>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</si>
  <si>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</si>
  <si>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</si>
  <si>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</si>
  <si>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</si>
  <si>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</si>
  <si>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</si>
  <si>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</si>
  <si>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</si>
  <si>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</si>
  <si>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</si>
  <si>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</si>
  <si>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</si>
  <si>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</si>
  <si>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</si>
  <si>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</si>
  <si>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</si>
  <si>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</si>
  <si>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</si>
  <si>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</si>
  <si>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</si>
  <si>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</si>
  <si>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</si>
  <si>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</si>
  <si>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</si>
  <si>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</si>
  <si>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</si>
  <si>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</si>
  <si>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</si>
  <si>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</si>
  <si>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</si>
  <si>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</si>
  <si>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</si>
  <si>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</si>
  <si>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</si>
  <si>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</si>
  <si>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</si>
  <si>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</si>
  <si>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</si>
  <si>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</si>
  <si>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</si>
  <si>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</si>
  <si>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</si>
  <si>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</si>
  <si>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</si>
  <si>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</si>
  <si>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</si>
  <si>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</si>
  <si>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</si>
  <si>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</si>
  <si>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</si>
  <si>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</si>
  <si>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</si>
  <si>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</si>
  <si>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</si>
  <si>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</si>
  <si>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</si>
  <si>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</si>
  <si>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</si>
  <si>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</si>
  <si>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</si>
  <si>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</si>
  <si>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</si>
  <si>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</si>
  <si>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</si>
  <si>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</si>
  <si>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</si>
  <si>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</si>
  <si>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</si>
  <si>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</si>
  <si>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</si>
  <si>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</si>
  <si>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</si>
  <si>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</si>
  <si>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</si>
  <si>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</si>
  <si>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</si>
  <si>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</si>
  <si>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</si>
  <si>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</si>
  <si>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</si>
  <si>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</si>
  <si>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</si>
  <si>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</si>
  <si>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</si>
  <si>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</si>
  <si>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</si>
  <si>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</si>
  <si>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</si>
  <si>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</si>
  <si>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</si>
  <si>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</si>
  <si>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</si>
  <si>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</si>
  <si>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</si>
  <si>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</si>
  <si>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</si>
  <si>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</si>
  <si>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</si>
  <si>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</si>
  <si>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</si>
  <si>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</si>
  <si>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</si>
  <si>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</si>
  <si>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</si>
  <si>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</si>
  <si>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</si>
  <si>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</si>
  <si>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</si>
  <si>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</si>
  <si>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</si>
  <si>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</si>
  <si>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</si>
  <si>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</si>
  <si>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</si>
  <si>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</si>
  <si>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</si>
  <si>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</si>
  <si>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</si>
  <si>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</si>
  <si>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</si>
  <si>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</si>
  <si>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</si>
  <si>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</si>
  <si>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</si>
  <si>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</si>
  <si>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</si>
  <si>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</si>
  <si>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</si>
  <si>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</si>
  <si>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</si>
  <si>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</si>
  <si>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</si>
  <si>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</si>
  <si>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</si>
  <si>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</si>
  <si>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</si>
  <si>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</si>
  <si>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</si>
  <si>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</si>
  <si>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</si>
  <si>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</si>
  <si>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</si>
  <si>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</si>
  <si>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</si>
  <si>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</si>
  <si>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</si>
  <si>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</si>
  <si>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</si>
  <si>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</si>
  <si>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</si>
  <si>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</si>
  <si>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</si>
  <si>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</si>
  <si>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</si>
  <si>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</si>
  <si>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</si>
  <si>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</si>
  <si>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</si>
  <si>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</si>
  <si>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</si>
  <si>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</si>
  <si>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</si>
  <si>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</si>
  <si>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</si>
  <si>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</si>
  <si>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</si>
  <si>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</si>
  <si>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</si>
  <si>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</si>
  <si>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</si>
  <si>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</si>
  <si>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</si>
  <si>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</si>
  <si>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</si>
  <si>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</si>
  <si>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</si>
  <si>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</si>
  <si>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</si>
  <si>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</si>
  <si>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</si>
  <si>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</si>
  <si>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</si>
  <si>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</si>
  <si>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</si>
  <si>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</si>
  <si>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</si>
  <si>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</si>
  <si>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</si>
  <si>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</si>
  <si>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</si>
  <si>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</si>
  <si>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</si>
  <si>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</si>
  <si>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</si>
  <si>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</si>
  <si>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</si>
  <si>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</si>
  <si>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</si>
  <si>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</si>
  <si>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</si>
  <si>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</si>
  <si>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</si>
  <si>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</si>
  <si>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</si>
  <si>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</si>
  <si>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</si>
  <si>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</si>
  <si>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</si>
  <si>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</si>
  <si>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</si>
  <si>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</si>
  <si>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</si>
  <si>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</si>
  <si>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</si>
  <si>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</si>
  <si>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</si>
  <si>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</si>
  <si>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</si>
  <si>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</si>
  <si>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</si>
  <si>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</si>
  <si>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</si>
  <si>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</si>
  <si>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</si>
  <si>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</si>
  <si>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</si>
  <si>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</si>
  <si>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</si>
  <si>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</si>
  <si>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</si>
  <si>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</si>
  <si>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</si>
  <si>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</si>
  <si>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</si>
  <si>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</si>
  <si>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</si>
  <si>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</si>
  <si>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</si>
  <si>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</si>
  <si>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</si>
  <si>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</si>
  <si>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</si>
  <si>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</si>
  <si>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</si>
  <si>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</si>
  <si>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</si>
  <si>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</si>
  <si>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</si>
  <si>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</si>
  <si>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</si>
  <si>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</si>
  <si>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</si>
  <si>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</si>
  <si>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</si>
  <si>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</si>
  <si>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</si>
  <si>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</si>
  <si>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</si>
  <si>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</si>
  <si>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</si>
  <si>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</si>
  <si>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</si>
  <si>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</si>
  <si>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</si>
  <si>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</si>
  <si>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</si>
  <si>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</si>
  <si>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</si>
  <si>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</si>
  <si>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</si>
  <si>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</si>
  <si>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</si>
  <si>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</si>
  <si>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</si>
  <si>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</si>
  <si>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</si>
  <si>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</si>
  <si>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</si>
  <si>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</si>
  <si>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</si>
  <si>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</si>
  <si>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</si>
  <si>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</si>
  <si>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</si>
  <si>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</si>
  <si>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</si>
  <si>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</si>
  <si>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</si>
  <si>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</si>
  <si>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</si>
  <si>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</si>
  <si>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</si>
  <si>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</si>
  <si>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</si>
  <si>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</si>
  <si>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</si>
  <si>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</si>
  <si>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</si>
  <si>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</si>
  <si>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</si>
  <si>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</si>
  <si>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</si>
  <si>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</si>
  <si>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</si>
  <si>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</si>
  <si>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</si>
  <si>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</si>
  <si>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</si>
  <si>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</si>
  <si>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</si>
  <si>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</si>
  <si>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</si>
  <si>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</si>
  <si>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</si>
  <si>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</si>
  <si>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</si>
  <si>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</si>
  <si>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</si>
  <si>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</si>
  <si>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</si>
  <si>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</si>
  <si>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</si>
  <si>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</si>
  <si>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</si>
  <si>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</si>
  <si>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</si>
  <si>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</si>
  <si>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</si>
  <si>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</si>
  <si>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</si>
  <si>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</si>
  <si>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</si>
  <si>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</si>
  <si>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</si>
  <si>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</si>
  <si>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</si>
  <si>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</si>
  <si>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</si>
  <si>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</si>
  <si>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</si>
  <si>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</si>
  <si>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</si>
  <si>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</si>
  <si>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</si>
  <si>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</si>
  <si>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</si>
  <si>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</si>
  <si>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</si>
  <si>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</si>
  <si>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</si>
  <si>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</si>
  <si>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</si>
  <si>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</si>
  <si>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</si>
  <si>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</si>
  <si>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</si>
  <si>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</si>
  <si>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</si>
  <si>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</si>
  <si>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</si>
  <si>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</si>
  <si>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</si>
  <si>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</si>
  <si>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</si>
  <si>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</si>
  <si>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</si>
  <si>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</si>
  <si>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</si>
  <si>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</si>
  <si>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</si>
  <si>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</si>
  <si>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</si>
  <si>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</si>
  <si>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</si>
  <si>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</si>
  <si>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</si>
  <si>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</si>
  <si>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</si>
  <si>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</si>
  <si>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</si>
  <si>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</si>
  <si>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</si>
  <si>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</si>
  <si>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</si>
  <si>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</si>
  <si>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</si>
  <si>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</si>
  <si>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</si>
  <si>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</si>
  <si>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</si>
  <si>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</si>
  <si>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</si>
  <si>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</si>
  <si>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</si>
  <si>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</si>
  <si>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</si>
  <si>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</si>
  <si>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</si>
  <si>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</si>
  <si>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</si>
  <si>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</si>
  <si>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</si>
  <si>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</si>
  <si>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</si>
  <si>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</si>
  <si>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</si>
  <si>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</si>
  <si>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</si>
  <si>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</si>
  <si>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</si>
  <si>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</si>
  <si>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</si>
  <si>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</si>
  <si>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</si>
  <si>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</si>
  <si>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</si>
  <si>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</si>
  <si>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</si>
  <si>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</si>
  <si>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</si>
  <si>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</si>
  <si>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</si>
  <si>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</si>
  <si>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</si>
  <si>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</si>
  <si>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</si>
  <si>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</si>
  <si>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</si>
  <si>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</si>
  <si>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</si>
  <si>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</si>
  <si>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</si>
  <si>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</si>
  <si>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</si>
  <si>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</si>
  <si>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</si>
  <si>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</si>
  <si>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</si>
  <si>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</si>
  <si>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</si>
  <si>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</si>
  <si>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</si>
  <si>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</si>
  <si>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</si>
  <si>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</si>
  <si>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</si>
  <si>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</si>
  <si>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</si>
  <si>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</si>
  <si>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</si>
  <si>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</si>
  <si>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</si>
  <si>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</si>
  <si>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</si>
  <si>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</si>
  <si>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</si>
  <si>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</si>
  <si>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</si>
  <si>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</si>
  <si>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</si>
  <si>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</si>
  <si>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</si>
  <si>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</si>
  <si>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</si>
  <si>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</si>
  <si>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</si>
  <si>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</si>
  <si>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</si>
  <si>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</si>
  <si>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</si>
  <si>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</si>
  <si>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</si>
  <si>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</si>
  <si>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</si>
  <si>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</si>
  <si>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</si>
  <si>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</si>
  <si>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</si>
  <si>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</si>
  <si>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</si>
  <si>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</si>
  <si>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</si>
  <si>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</si>
  <si>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</si>
  <si>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</si>
  <si>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</si>
  <si>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</si>
  <si>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</si>
  <si>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</si>
  <si>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</si>
  <si>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</si>
  <si>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</si>
  <si>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</si>
  <si>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</si>
  <si>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</si>
  <si>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</si>
  <si>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</si>
  <si>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</si>
  <si>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</si>
  <si>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</si>
  <si>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</si>
  <si>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</si>
  <si>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</si>
  <si>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</si>
  <si>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</si>
  <si>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</si>
  <si>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</si>
  <si>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</si>
  <si>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</si>
  <si>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</si>
  <si>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</si>
  <si>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</si>
  <si>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</si>
  <si>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</si>
  <si>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</si>
  <si>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</si>
  <si>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</si>
  <si>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</si>
  <si>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</si>
  <si>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</si>
  <si>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</si>
  <si>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</si>
  <si>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</si>
  <si>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</si>
  <si>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</si>
  <si>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</si>
  <si>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</si>
  <si>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</si>
  <si>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</si>
  <si>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</si>
  <si>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</si>
  <si>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</si>
  <si>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</si>
  <si>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</si>
  <si>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</si>
  <si>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</si>
  <si>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</si>
  <si>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</si>
  <si>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</si>
  <si>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</si>
  <si>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</si>
  <si>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</si>
  <si>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</si>
  <si>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</si>
  <si>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</si>
  <si>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</si>
  <si>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</si>
  <si>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</si>
  <si>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</si>
  <si>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</si>
  <si>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</si>
  <si>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</si>
  <si>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</si>
  <si>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</si>
  <si>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</si>
  <si>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</si>
  <si>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</si>
  <si>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</si>
  <si>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</si>
  <si>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</si>
  <si>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</si>
  <si>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</si>
  <si>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</si>
  <si>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</si>
  <si>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</si>
  <si>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</si>
  <si>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</si>
  <si>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</si>
  <si>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</si>
  <si>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</si>
  <si>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</si>
  <si>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</si>
  <si>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</si>
  <si>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</si>
  <si>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</si>
  <si>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</si>
  <si>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</si>
  <si>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</si>
  <si>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</si>
  <si>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</si>
  <si>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</si>
  <si>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</si>
  <si>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</si>
  <si>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</si>
  <si>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</si>
  <si>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</si>
  <si>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</si>
  <si>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</si>
  <si>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</si>
  <si>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</si>
  <si>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</si>
  <si>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</si>
  <si>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</si>
  <si>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</si>
  <si>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</si>
  <si>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</si>
  <si>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</si>
  <si>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</si>
  <si>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</si>
  <si>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</si>
  <si>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</si>
  <si>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</si>
  <si>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</si>
  <si>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</si>
  <si>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</si>
  <si>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</si>
  <si>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</si>
  <si>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</si>
  <si>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</si>
  <si>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</si>
  <si>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</si>
  <si>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</si>
  <si>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</si>
  <si>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</si>
  <si>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</si>
  <si>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</si>
  <si>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</si>
  <si>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</si>
  <si>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</si>
  <si>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</si>
  <si>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</si>
  <si>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</si>
  <si>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</si>
  <si>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</si>
  <si>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</si>
  <si>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</si>
  <si>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</si>
  <si>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</si>
  <si>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</si>
  <si>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</si>
  <si>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</si>
  <si>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</si>
  <si>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</si>
  <si>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</si>
  <si>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</si>
  <si>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</si>
  <si>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</si>
  <si>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</si>
  <si>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</si>
  <si>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</si>
  <si>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</si>
  <si>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</si>
  <si>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</si>
  <si>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</si>
  <si>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</si>
  <si>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</si>
  <si>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</si>
  <si>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</si>
  <si>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</si>
  <si>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</si>
  <si>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</si>
  <si>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</si>
  <si>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</si>
  <si>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</si>
  <si>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</si>
  <si>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</si>
  <si>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</si>
  <si>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</si>
  <si>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</si>
  <si>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</si>
  <si>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</si>
  <si>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</si>
  <si>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</si>
  <si>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</si>
  <si>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</si>
  <si>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</si>
  <si>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</si>
  <si>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</si>
  <si>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</si>
  <si>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</si>
  <si>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</si>
  <si>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</si>
  <si>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</si>
  <si>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</si>
  <si>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</si>
  <si>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</si>
  <si>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</si>
  <si>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</si>
  <si>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</si>
  <si>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</si>
  <si>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</si>
  <si>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</si>
  <si>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</si>
  <si>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</si>
  <si>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</si>
  <si>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</si>
  <si>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</si>
  <si>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</si>
  <si>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</si>
  <si>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</si>
  <si>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</si>
  <si>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</si>
  <si>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</si>
  <si>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</si>
  <si>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</si>
  <si>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</si>
  <si>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</si>
  <si>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</si>
  <si>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</si>
  <si>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</si>
  <si>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</si>
  <si>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</si>
  <si>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</si>
  <si>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</si>
  <si>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</si>
  <si>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</si>
  <si>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</si>
  <si>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</si>
  <si>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</si>
  <si>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</si>
  <si>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</si>
  <si>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</si>
  <si>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</si>
  <si>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</si>
  <si>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</si>
  <si>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</si>
  <si>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</si>
  <si>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</si>
  <si>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</si>
  <si>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</si>
  <si>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</si>
  <si>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</si>
  <si>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</si>
  <si>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</si>
  <si>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</si>
  <si>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</si>
  <si>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</si>
  <si>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</si>
  <si>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</si>
  <si>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</si>
  <si>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</si>
  <si>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</si>
  <si>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</si>
  <si>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</si>
  <si>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</si>
  <si>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</si>
  <si>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</si>
  <si>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</si>
  <si>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</si>
  <si>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</si>
  <si>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</si>
  <si>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</si>
  <si>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</si>
  <si>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</si>
  <si>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</si>
  <si>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</si>
  <si>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</si>
  <si>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</si>
  <si>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</si>
  <si>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</si>
  <si>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</si>
  <si>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</si>
  <si>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</si>
  <si>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</si>
  <si>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</si>
  <si>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</si>
  <si>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</si>
  <si>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</si>
  <si>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</si>
  <si>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</si>
  <si>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</si>
  <si>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</si>
  <si>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</si>
  <si>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</si>
  <si>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</si>
  <si>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</si>
  <si>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</si>
  <si>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</si>
  <si>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</si>
  <si>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</si>
  <si>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</si>
  <si>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</si>
  <si>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</si>
  <si>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</si>
  <si>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</si>
  <si>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</si>
  <si>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</si>
  <si>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</si>
  <si>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</si>
  <si>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</si>
  <si>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</si>
  <si>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</si>
  <si>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</si>
  <si>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</si>
  <si>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</si>
  <si>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</si>
  <si>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</si>
  <si>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</si>
  <si>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</si>
  <si>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</si>
  <si>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</si>
  <si>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</si>
  <si>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</si>
  <si>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</si>
  <si>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</si>
  <si>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</si>
  <si>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</si>
  <si>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</si>
  <si>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</si>
  <si>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</si>
  <si>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</si>
  <si>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</si>
  <si>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</si>
  <si>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</si>
  <si>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</si>
  <si>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</si>
  <si>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</si>
  <si>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</si>
  <si>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</si>
  <si>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</si>
  <si>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</si>
  <si>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</si>
  <si>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</si>
  <si>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</si>
  <si>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</si>
  <si>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</si>
  <si>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</si>
  <si>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</si>
  <si>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</si>
  <si>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</si>
  <si>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</si>
  <si>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</si>
  <si>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</si>
  <si>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</si>
  <si>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</si>
  <si>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</si>
  <si>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</si>
  <si>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</si>
  <si>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</si>
  <si>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</si>
  <si>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</si>
  <si>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</si>
  <si>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</si>
  <si>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</si>
  <si>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</si>
  <si>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</si>
  <si>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</si>
  <si>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</si>
  <si>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</si>
  <si>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</si>
  <si>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</si>
  <si>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</si>
  <si>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</si>
  <si>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</si>
  <si>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</si>
  <si>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</si>
  <si>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</si>
  <si>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</si>
  <si>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</si>
  <si>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</si>
  <si>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</si>
  <si>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</si>
  <si>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</si>
  <si>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</si>
  <si>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</si>
  <si>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</si>
  <si>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</si>
  <si>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</si>
  <si>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</si>
  <si>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</si>
  <si>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</si>
  <si>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</si>
  <si>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</si>
  <si>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</si>
  <si>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</si>
  <si>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</si>
  <si>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</si>
  <si>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</si>
  <si>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</si>
  <si>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</si>
  <si>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</si>
  <si>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</si>
  <si>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</si>
  <si>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</si>
  <si>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</si>
  <si>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</si>
  <si>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</si>
  <si>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</si>
  <si>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</si>
  <si>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</si>
  <si>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</si>
  <si>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</si>
  <si>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</si>
  <si>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</si>
  <si>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</si>
  <si>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</si>
  <si>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</si>
  <si>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</si>
  <si>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</si>
  <si>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</si>
  <si>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</si>
  <si>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</si>
  <si>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</si>
  <si>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</si>
  <si>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</si>
  <si>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</si>
  <si>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</si>
  <si>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</si>
  <si>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</si>
  <si>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</si>
  <si>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</si>
  <si>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</si>
  <si>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</si>
  <si>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</si>
  <si>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</si>
  <si>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</si>
  <si>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</si>
  <si>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</si>
  <si>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</si>
  <si>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</si>
  <si>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</si>
  <si>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</si>
  <si>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</si>
  <si>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</si>
  <si>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</si>
  <si>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</si>
  <si>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</si>
  <si>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</si>
  <si>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</si>
  <si>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</si>
  <si>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</si>
  <si>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</si>
  <si>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</si>
  <si>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</si>
  <si>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</si>
  <si>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</si>
  <si>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</si>
  <si>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</si>
  <si>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</si>
  <si>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</si>
  <si>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</si>
  <si>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</si>
  <si>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</si>
  <si>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</si>
  <si>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</si>
  <si>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</si>
  <si>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</si>
  <si>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</si>
  <si>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</si>
  <si>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</si>
  <si>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</si>
  <si>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</si>
  <si>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</si>
  <si>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</si>
  <si>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</si>
  <si>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</si>
  <si>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</si>
  <si>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</si>
  <si>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</si>
  <si>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</si>
  <si>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</si>
  <si>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</si>
  <si>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</si>
  <si>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</si>
  <si>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</si>
  <si>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</si>
  <si>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</si>
  <si>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</si>
  <si>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</si>
  <si>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</si>
  <si>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</si>
  <si>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</si>
  <si>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</si>
  <si>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</si>
  <si>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</si>
  <si>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</si>
  <si>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</si>
  <si>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</si>
  <si>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</si>
  <si>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</si>
  <si>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</si>
  <si>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</si>
  <si>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</si>
  <si>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</si>
  <si>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</si>
  <si>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</si>
  <si>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</si>
  <si>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</si>
  <si>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</si>
  <si>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</si>
  <si>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</si>
  <si>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</si>
  <si>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</si>
  <si>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</si>
  <si>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</si>
  <si>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</si>
  <si>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</si>
  <si>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</si>
  <si>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</si>
  <si>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</si>
  <si>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</si>
  <si>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</si>
  <si>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</si>
  <si>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</si>
  <si>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</si>
  <si>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</si>
  <si>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</si>
  <si>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</si>
  <si>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</si>
  <si>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</si>
  <si>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</si>
  <si>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</si>
  <si>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</si>
  <si>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</si>
  <si>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</si>
  <si>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</si>
  <si>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</si>
  <si>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</si>
  <si>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</si>
  <si>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</si>
  <si>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</si>
  <si>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</si>
  <si>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</si>
  <si>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</si>
  <si>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</si>
  <si>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</si>
  <si>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</si>
  <si>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</si>
  <si>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</si>
  <si>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</si>
  <si>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</si>
  <si>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</si>
  <si>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</si>
  <si>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</si>
  <si>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</si>
  <si>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</si>
  <si>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</si>
  <si>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</si>
  <si>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</si>
  <si>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</si>
  <si>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</si>
  <si>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</si>
  <si>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</si>
  <si>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</si>
  <si>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</si>
  <si>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</si>
  <si>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</si>
  <si>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</si>
  <si>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</si>
  <si>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</si>
  <si>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</si>
  <si>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</si>
  <si>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</si>
  <si>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</si>
  <si>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</si>
  <si>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</si>
  <si>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</si>
  <si>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</si>
  <si>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</si>
  <si>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</si>
  <si>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</si>
  <si>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</si>
  <si>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</si>
  <si>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</si>
  <si>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</si>
  <si>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</si>
  <si>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</si>
  <si>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</si>
  <si>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</si>
  <si>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</si>
  <si>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</si>
  <si>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</si>
  <si>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</si>
  <si>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</si>
  <si>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</si>
  <si>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</si>
  <si>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</si>
  <si>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</si>
  <si>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</si>
  <si>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</si>
  <si>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</si>
  <si>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</si>
  <si>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</si>
  <si>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</si>
  <si>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</si>
  <si>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</si>
  <si>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</si>
  <si>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</si>
  <si>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</si>
  <si>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</si>
  <si>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</si>
  <si>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</si>
  <si>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</si>
  <si>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</si>
  <si>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</si>
  <si>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</si>
  <si>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</si>
  <si>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</si>
  <si>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</si>
  <si>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</si>
  <si>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</si>
  <si>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</si>
  <si>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</si>
  <si>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</si>
  <si>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</si>
  <si>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</si>
  <si>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</si>
  <si>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</si>
  <si>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</si>
  <si>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</si>
  <si>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</si>
  <si>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</si>
  <si>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</si>
  <si>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</si>
  <si>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</si>
  <si>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</si>
  <si>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</si>
  <si>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</si>
  <si>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</si>
  <si>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</si>
  <si>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</si>
  <si>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</si>
  <si>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</si>
  <si>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</si>
  <si>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</si>
  <si>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</si>
  <si>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</si>
  <si>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</si>
  <si>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</si>
  <si>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</si>
  <si>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</si>
  <si>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</si>
  <si>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</si>
  <si>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</si>
  <si>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</si>
  <si>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</si>
  <si>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</si>
  <si>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</si>
  <si>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</si>
  <si>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</si>
  <si>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</si>
  <si>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</si>
  <si>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</si>
  <si>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</si>
  <si>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</si>
  <si>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</si>
  <si>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</si>
  <si>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</si>
  <si>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</si>
  <si>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</si>
  <si>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</si>
  <si>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</si>
  <si>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</si>
  <si>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</si>
  <si>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</si>
  <si>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</si>
  <si>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</si>
  <si>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</si>
  <si>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</si>
  <si>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</si>
  <si>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</si>
  <si>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</si>
  <si>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</si>
  <si>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</si>
  <si>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</si>
  <si>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</si>
  <si>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</si>
  <si>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</si>
  <si>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</si>
  <si>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</si>
  <si>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</si>
  <si>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</si>
  <si>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</si>
  <si>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</si>
  <si>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</si>
  <si>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</si>
  <si>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</si>
  <si>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</si>
  <si>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</si>
  <si>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</si>
  <si>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</si>
  <si>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</si>
  <si>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</si>
  <si>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</si>
  <si>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</si>
  <si>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</si>
  <si>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</si>
  <si>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</si>
  <si>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</si>
  <si>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</si>
  <si>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</si>
  <si>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</si>
  <si>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</si>
  <si>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</si>
  <si>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</si>
  <si>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</si>
  <si>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</si>
  <si>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</si>
  <si>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</si>
  <si>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</si>
  <si>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</si>
  <si>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</si>
  <si>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</si>
  <si>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</si>
  <si>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</si>
  <si>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</si>
  <si>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</si>
  <si>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</si>
  <si>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</si>
  <si>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</si>
  <si>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</si>
  <si>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</si>
  <si>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</si>
  <si>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</si>
  <si>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</si>
  <si>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</si>
  <si>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</si>
  <si>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</si>
  <si>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</si>
  <si>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</si>
  <si>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</si>
  <si>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</si>
  <si>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</si>
  <si>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</si>
  <si>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</si>
  <si>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</si>
  <si>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</si>
  <si>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</si>
  <si>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</si>
  <si>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</si>
  <si>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</si>
  <si>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</si>
  <si>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</si>
  <si>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</si>
  <si>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</si>
  <si>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</si>
  <si>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</si>
  <si>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</si>
  <si>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</si>
  <si>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</si>
  <si>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</si>
  <si>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</si>
  <si>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</si>
  <si>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</si>
  <si>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</si>
  <si>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</si>
  <si>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</si>
  <si>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</si>
  <si>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</si>
  <si>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</si>
  <si>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</si>
  <si>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</si>
  <si>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</si>
  <si>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</si>
  <si>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</si>
  <si>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</si>
  <si>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</si>
  <si>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</si>
  <si>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</si>
  <si>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</si>
  <si>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</si>
  <si>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</si>
  <si>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</si>
  <si>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</si>
  <si>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</si>
  <si>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</si>
  <si>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</si>
  <si>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</si>
  <si>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</si>
  <si>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</si>
  <si>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</si>
  <si>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</si>
  <si>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</si>
  <si>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</si>
  <si>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</si>
  <si>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</si>
  <si>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</si>
  <si>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</si>
  <si>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</si>
  <si>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</si>
  <si>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</si>
  <si>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</si>
  <si>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</si>
  <si>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</si>
  <si>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</si>
  <si>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</si>
  <si>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</si>
  <si>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</si>
  <si>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</si>
  <si>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</si>
  <si>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</si>
  <si>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</si>
  <si>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</si>
  <si>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</si>
  <si>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</si>
  <si>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</si>
  <si>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</si>
  <si>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</si>
  <si>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</si>
  <si>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</si>
  <si>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</si>
  <si>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</si>
  <si>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</si>
  <si>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</si>
  <si>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</si>
  <si>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</si>
  <si>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</si>
  <si>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</si>
  <si>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</si>
  <si>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</si>
  <si>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</si>
  <si>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</si>
  <si>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</si>
  <si>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</si>
  <si>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</si>
  <si>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</si>
  <si>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</si>
  <si>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</si>
  <si>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</si>
  <si>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</si>
  <si>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</si>
  <si>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</si>
  <si>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</si>
  <si>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</si>
  <si>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</si>
  <si>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</si>
  <si>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</si>
  <si>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</si>
  <si>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</si>
  <si>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</si>
  <si>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</si>
  <si>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</si>
  <si>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</si>
  <si>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</si>
  <si>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</si>
  <si>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</si>
  <si>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</si>
  <si>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</si>
  <si>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</si>
  <si>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</si>
  <si>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</si>
  <si>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</si>
  <si>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</si>
  <si>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</si>
  <si>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</si>
  <si>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</si>
  <si>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</si>
  <si>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</si>
  <si>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</si>
  <si>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</si>
  <si>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</si>
  <si>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</si>
  <si>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</si>
  <si>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</si>
  <si>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</si>
  <si>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</si>
  <si>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</si>
  <si>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</si>
  <si>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</si>
  <si>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</si>
  <si>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</si>
  <si>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</si>
  <si>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</si>
  <si>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</si>
  <si>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</si>
  <si>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</si>
  <si>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</si>
  <si>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</si>
  <si>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</si>
  <si>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</si>
  <si>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</si>
  <si>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</si>
  <si>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</si>
  <si>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</si>
  <si>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</si>
  <si>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</si>
  <si>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</si>
  <si>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</si>
  <si>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</si>
  <si>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</si>
  <si>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</si>
  <si>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</si>
  <si>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</si>
  <si>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</si>
  <si>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</si>
  <si>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</si>
  <si>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</si>
  <si>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</si>
  <si>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</si>
  <si>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</si>
  <si>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</si>
  <si>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</si>
  <si>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</si>
  <si>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</si>
  <si>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</si>
  <si>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</si>
  <si>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</si>
  <si>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</si>
  <si>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</si>
  <si>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</si>
  <si>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</si>
  <si>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</si>
  <si>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</si>
  <si>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</si>
  <si>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</si>
  <si>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</si>
  <si>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</si>
  <si>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</si>
  <si>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</si>
  <si>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</si>
  <si>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</si>
  <si>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</si>
  <si>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</si>
  <si>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</si>
  <si>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</si>
  <si>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</si>
  <si>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</si>
  <si>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</si>
  <si>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</si>
  <si>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</si>
  <si>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</si>
  <si>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</si>
  <si>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</si>
  <si>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</si>
  <si>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</si>
  <si>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</si>
  <si>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</si>
  <si>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</si>
  <si>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</si>
  <si>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</si>
  <si>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</si>
  <si>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</si>
  <si>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</si>
  <si>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</si>
  <si>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</si>
  <si>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</si>
  <si>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</si>
  <si>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</si>
  <si>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</si>
  <si>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</si>
  <si>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</si>
  <si>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</si>
  <si>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</si>
  <si>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</si>
  <si>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</si>
  <si>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</si>
  <si>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</si>
  <si>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</si>
  <si>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</si>
  <si>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</si>
  <si>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</si>
  <si>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</si>
  <si>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</si>
  <si>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</si>
  <si>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</si>
  <si>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</si>
  <si>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</si>
  <si>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</si>
  <si>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</si>
  <si>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</si>
  <si>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</si>
  <si>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</si>
  <si>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</si>
  <si>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</si>
  <si>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</si>
  <si>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</si>
  <si>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</si>
  <si>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</si>
  <si>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</si>
  <si>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</si>
  <si>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</si>
  <si>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</si>
  <si>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</si>
  <si>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</si>
  <si>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</si>
  <si>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</si>
  <si>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</si>
  <si>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</si>
  <si>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</si>
  <si>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</si>
  <si>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</si>
  <si>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</si>
  <si>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</si>
  <si>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</si>
  <si>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</si>
  <si>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</si>
  <si>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</si>
  <si>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</si>
  <si>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</si>
  <si>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</si>
  <si>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</si>
  <si>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</si>
  <si>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</si>
  <si>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</si>
  <si>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</si>
  <si>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</si>
  <si>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</si>
  <si>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</si>
  <si>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</si>
  <si>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</si>
  <si>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</si>
  <si>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</si>
  <si>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</si>
  <si>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</si>
  <si>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</si>
  <si>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</si>
  <si>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</si>
  <si>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</si>
  <si>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</si>
  <si>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</si>
  <si>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</si>
  <si>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</si>
  <si>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</si>
  <si>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</si>
  <si>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</si>
  <si>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</si>
  <si>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</si>
  <si>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</si>
  <si>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</si>
  <si>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</si>
  <si>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</si>
  <si>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</si>
  <si>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</si>
  <si>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</si>
  <si>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</si>
  <si>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</si>
  <si>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</si>
  <si>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</si>
  <si>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</si>
  <si>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</si>
  <si>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</si>
  <si>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</si>
  <si>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</si>
  <si>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</si>
  <si>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</si>
  <si>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</si>
  <si>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</si>
  <si>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</si>
  <si>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</si>
  <si>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</si>
  <si>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</si>
  <si>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</si>
  <si>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</si>
  <si>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</si>
  <si>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</si>
  <si>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</si>
  <si>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</si>
  <si>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</si>
  <si>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</si>
  <si>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</si>
  <si>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</si>
  <si>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</si>
  <si>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</si>
  <si>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</si>
  <si>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</si>
  <si>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</si>
  <si>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</si>
  <si>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</si>
  <si>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</si>
  <si>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</si>
  <si>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</si>
  <si>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</si>
  <si>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</si>
  <si>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</si>
  <si>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</si>
  <si>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</si>
  <si>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</si>
  <si>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</si>
  <si>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</si>
  <si>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</si>
  <si>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</si>
  <si>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</si>
  <si>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</si>
  <si>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</si>
  <si>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</si>
  <si>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</si>
  <si>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</si>
  <si>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</si>
  <si>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</si>
  <si>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</si>
  <si>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</si>
  <si>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</si>
  <si>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</si>
  <si>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</si>
  <si>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</si>
  <si>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</si>
  <si>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</si>
  <si>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</si>
  <si>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</si>
  <si>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</si>
  <si>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</si>
  <si>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</si>
  <si>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</si>
  <si>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</si>
  <si>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</si>
  <si>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</si>
  <si>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</si>
  <si>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</si>
  <si>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</si>
  <si>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</si>
  <si>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</si>
  <si>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</si>
  <si>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</si>
  <si>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</si>
  <si>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</si>
  <si>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</si>
  <si>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</si>
  <si>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</si>
  <si>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</si>
  <si>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</si>
  <si>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</si>
  <si>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</si>
  <si>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</si>
  <si>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</si>
  <si>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</si>
  <si>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</si>
  <si>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</si>
  <si>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</si>
  <si>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</si>
  <si>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</si>
  <si>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</si>
  <si>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</si>
  <si>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</si>
  <si>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</si>
  <si>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</si>
  <si>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</si>
  <si>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</si>
  <si>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</si>
  <si>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</si>
  <si>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</si>
  <si>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</si>
  <si>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</si>
  <si>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</si>
  <si>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</si>
  <si>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</si>
  <si>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</si>
  <si>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</si>
  <si>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</si>
  <si>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</si>
  <si>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</si>
  <si>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</si>
  <si>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</si>
  <si>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</si>
  <si>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</si>
  <si>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</si>
  <si>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</si>
  <si>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</si>
  <si>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</si>
  <si>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</si>
  <si>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</si>
  <si>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</si>
  <si>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</si>
  <si>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</si>
  <si>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</si>
  <si>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</si>
  <si>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</si>
  <si>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</si>
  <si>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</si>
  <si>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</si>
  <si>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</si>
  <si>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</si>
  <si>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</si>
  <si>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</si>
  <si>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</si>
  <si>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</si>
  <si>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</si>
  <si>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</si>
  <si>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</si>
  <si>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</si>
  <si>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</si>
  <si>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</si>
  <si>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</si>
  <si>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</si>
  <si>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</si>
  <si>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</si>
  <si>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</si>
  <si>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</si>
  <si>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</si>
  <si>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</si>
  <si>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</si>
  <si>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</si>
  <si>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</si>
  <si>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</si>
  <si>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</si>
  <si>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</si>
  <si>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</si>
  <si>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</si>
  <si>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</si>
  <si>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</si>
  <si>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</si>
  <si>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</si>
  <si>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</si>
  <si>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</si>
  <si>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</si>
  <si>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</si>
  <si>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</si>
  <si>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</si>
  <si>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</si>
  <si>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</si>
  <si>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</si>
  <si>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</si>
  <si>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</si>
  <si>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</si>
  <si>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</si>
  <si>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</si>
  <si>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</si>
  <si>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</si>
  <si>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</si>
  <si>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</si>
  <si>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</si>
  <si>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</si>
  <si>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</si>
  <si>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</si>
  <si>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</si>
  <si>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</si>
  <si>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</si>
  <si>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</si>
  <si>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</si>
  <si>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</si>
  <si>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</si>
  <si>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</si>
  <si>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</si>
  <si>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</si>
  <si>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</si>
  <si>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</si>
  <si>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</si>
  <si>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</si>
  <si>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</si>
  <si>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</si>
  <si>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</si>
  <si>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</si>
  <si>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</si>
  <si>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</si>
  <si>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</si>
  <si>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</si>
  <si>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</si>
  <si>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</si>
  <si>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</si>
  <si>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</si>
  <si>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</si>
  <si>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</si>
  <si>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</si>
  <si>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</si>
  <si>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</si>
  <si>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</si>
  <si>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</si>
  <si>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</si>
  <si>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</si>
  <si>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</si>
  <si>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</si>
  <si>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</si>
  <si>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</si>
  <si>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</si>
  <si>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</si>
  <si>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</si>
  <si>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</si>
  <si>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</si>
  <si>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</si>
  <si>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</si>
  <si>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</si>
  <si>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</si>
  <si>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</si>
  <si>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</si>
  <si>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</si>
  <si>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</si>
  <si>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</si>
  <si>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</si>
  <si>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</si>
  <si>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</si>
  <si>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</si>
  <si>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</si>
  <si>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</si>
  <si>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</si>
  <si>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</si>
  <si>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</si>
  <si>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</si>
  <si>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</si>
  <si>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</si>
  <si>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</si>
  <si>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</si>
  <si>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</si>
  <si>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</si>
  <si>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</si>
  <si>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</si>
  <si>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</si>
  <si>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</si>
  <si>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</si>
  <si>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</si>
  <si>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</si>
  <si>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</si>
  <si>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</si>
  <si>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</si>
  <si>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</si>
  <si>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</si>
  <si>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</si>
  <si>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</si>
  <si>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</si>
  <si>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</si>
  <si>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</si>
  <si>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</si>
  <si>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</si>
  <si>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</si>
  <si>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</si>
  <si>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</si>
  <si>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</si>
  <si>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</si>
  <si>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</si>
  <si>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</si>
  <si>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</si>
  <si>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</si>
  <si>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</si>
  <si>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</si>
  <si>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</si>
  <si>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</si>
  <si>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</si>
  <si>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</si>
  <si>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</si>
  <si>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</si>
  <si>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</si>
  <si>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</si>
  <si>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</si>
  <si>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</si>
  <si>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</si>
  <si>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</si>
  <si>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</si>
  <si>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</si>
  <si>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</si>
  <si>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</si>
  <si>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</si>
  <si>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</si>
  <si>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</si>
  <si>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</si>
  <si>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</si>
  <si>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</si>
  <si>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</si>
  <si>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</si>
  <si>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</si>
  <si>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</si>
  <si>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</si>
  <si>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</si>
  <si>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</si>
  <si>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</si>
  <si>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</si>
  <si>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</si>
  <si>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</si>
  <si>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</si>
  <si>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</si>
  <si>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</si>
  <si>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</si>
  <si>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</si>
  <si>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</si>
  <si>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</si>
  <si>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</si>
  <si>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</si>
  <si>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</si>
  <si>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</si>
  <si>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</si>
  <si>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</si>
  <si>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</si>
  <si>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</si>
  <si>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</si>
  <si>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</si>
  <si>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</si>
  <si>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</si>
  <si>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</si>
  <si>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</si>
  <si>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</si>
  <si>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</si>
  <si>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</si>
  <si>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</si>
  <si>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</si>
  <si>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</si>
  <si>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</si>
  <si>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</si>
  <si>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</si>
  <si>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</si>
  <si>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</si>
  <si>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</si>
  <si>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</si>
  <si>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</si>
  <si>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</si>
  <si>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</si>
  <si>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</si>
  <si>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</si>
  <si>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</si>
  <si>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</si>
  <si>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</si>
  <si>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</si>
  <si>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</si>
  <si>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</si>
  <si>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</si>
  <si>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</si>
  <si>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</si>
  <si>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</si>
  <si>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</si>
  <si>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</si>
  <si>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</si>
  <si>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</si>
  <si>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</si>
  <si>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</si>
  <si>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</si>
  <si>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</si>
  <si>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</si>
  <si>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</si>
  <si>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</si>
  <si>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</si>
  <si>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</si>
  <si>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</si>
  <si>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</si>
  <si>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</si>
  <si>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</si>
  <si>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</si>
  <si>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</si>
  <si>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</si>
  <si>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</si>
  <si>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</si>
  <si>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</si>
  <si>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</si>
  <si>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</si>
  <si>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</si>
  <si>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</si>
  <si>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</si>
  <si>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</si>
  <si>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</si>
  <si>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</si>
  <si>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</si>
  <si>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</si>
  <si>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</si>
  <si>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</si>
  <si>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</si>
  <si>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</si>
  <si>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</si>
  <si>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</si>
  <si>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</si>
  <si>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</si>
  <si>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</si>
  <si>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</si>
  <si>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</si>
  <si>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</si>
  <si>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</si>
  <si>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</si>
  <si>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</si>
  <si>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</si>
  <si>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</si>
  <si>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</si>
  <si>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</si>
  <si>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</si>
  <si>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</si>
  <si>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</si>
  <si>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</si>
  <si>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</si>
  <si>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</si>
  <si>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</si>
  <si>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</si>
  <si>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</si>
  <si>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</si>
  <si>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</si>
  <si>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</si>
  <si>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</si>
  <si>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</si>
  <si>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</si>
  <si>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</si>
  <si>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</si>
  <si>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</si>
  <si>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</si>
  <si>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</si>
  <si>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</si>
  <si>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</si>
  <si>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</si>
  <si>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</si>
  <si>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</si>
  <si>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</si>
  <si>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</si>
  <si>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</si>
  <si>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</si>
  <si>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</si>
  <si>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</si>
  <si>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</si>
  <si>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</si>
  <si>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</si>
  <si>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</si>
  <si>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</si>
  <si>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</si>
  <si>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</si>
  <si>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</si>
  <si>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</si>
  <si>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</si>
  <si>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</si>
  <si>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</si>
  <si>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</si>
  <si>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</si>
  <si>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</si>
  <si>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</si>
  <si>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</si>
  <si>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</si>
  <si>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</si>
  <si>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</si>
  <si>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</si>
  <si>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</si>
  <si>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</si>
  <si>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</si>
  <si>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</si>
  <si>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</si>
  <si>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</si>
  <si>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</si>
  <si>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</si>
  <si>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</si>
  <si>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</si>
  <si>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</si>
  <si>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</si>
  <si>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</si>
  <si>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</si>
  <si>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</si>
  <si>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</si>
  <si>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</si>
  <si>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</si>
  <si>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</si>
  <si>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</si>
  <si>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</si>
  <si>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</si>
  <si>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</si>
  <si>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</si>
  <si>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</si>
  <si>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</si>
  <si>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</si>
  <si>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</si>
  <si>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</si>
  <si>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</si>
  <si>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</si>
  <si>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</si>
  <si>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</si>
  <si>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</si>
  <si>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</si>
  <si>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</si>
  <si>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</si>
  <si>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</si>
  <si>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</si>
  <si>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</si>
  <si>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</si>
  <si>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</si>
  <si>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</si>
  <si>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</si>
  <si>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</si>
  <si>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</si>
  <si>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</si>
  <si>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</si>
  <si>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</si>
  <si>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</si>
  <si>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</si>
  <si>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</si>
  <si>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</si>
  <si>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</si>
  <si>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</si>
  <si>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</si>
  <si>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</si>
  <si>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</si>
  <si>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</si>
  <si>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</si>
  <si>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</si>
  <si>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</si>
  <si>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</si>
  <si>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</si>
  <si>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</si>
  <si>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</si>
  <si>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</si>
  <si>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</si>
  <si>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</si>
  <si>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</si>
  <si>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</si>
  <si>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</si>
  <si>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</si>
  <si>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</si>
  <si>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</si>
  <si>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</si>
  <si>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</si>
  <si>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</si>
  <si>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</si>
  <si>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</si>
  <si>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</si>
  <si>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</si>
  <si>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</si>
  <si>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</si>
  <si>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</si>
  <si>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</si>
  <si>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</si>
  <si>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</si>
  <si>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</si>
  <si>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</si>
  <si>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</si>
  <si>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</si>
  <si>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</si>
  <si>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</si>
  <si>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</si>
  <si>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</si>
  <si>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</si>
  <si>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</si>
  <si>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</si>
  <si>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</si>
  <si>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</si>
  <si>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</si>
  <si>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</si>
  <si>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</si>
  <si>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</si>
  <si>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</si>
  <si>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</si>
  <si>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</si>
  <si>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</si>
  <si>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</si>
  <si>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</si>
  <si>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</si>
  <si>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</si>
  <si>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</si>
  <si>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</si>
  <si>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</si>
  <si>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</si>
  <si>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</si>
  <si>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</si>
  <si>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</si>
  <si>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</si>
  <si>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</si>
  <si>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</si>
  <si>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</si>
  <si>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</si>
  <si>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</si>
  <si>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</si>
  <si>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</si>
  <si>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</si>
  <si>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</si>
  <si>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</si>
  <si>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</si>
  <si>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</si>
  <si>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</si>
  <si>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</si>
  <si>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</si>
  <si>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</si>
  <si>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</si>
  <si>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</si>
  <si>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</si>
  <si>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</si>
  <si>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</si>
  <si>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</si>
  <si>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</si>
  <si>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</si>
  <si>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</si>
  <si>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</si>
  <si>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</si>
  <si>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</si>
  <si>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</si>
  <si>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</si>
  <si>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</si>
  <si>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</si>
  <si>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</si>
  <si>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</si>
  <si>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</si>
  <si>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</si>
  <si>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</si>
  <si>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</si>
  <si>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</si>
  <si>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</si>
  <si>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</si>
  <si>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</si>
  <si>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</si>
  <si>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</si>
  <si>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</si>
  <si>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</si>
  <si>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</si>
  <si>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</si>
  <si>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</si>
  <si>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</si>
  <si>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</si>
  <si>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</si>
  <si>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</si>
  <si>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</si>
  <si>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</si>
  <si>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</si>
  <si>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</si>
  <si>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</si>
  <si>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</si>
  <si>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</si>
  <si>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</si>
  <si>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</si>
  <si>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</si>
  <si>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</si>
  <si>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</si>
  <si>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</si>
  <si>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</si>
  <si>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</si>
  <si>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</si>
  <si>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</si>
  <si>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</si>
  <si>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</si>
  <si>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</si>
  <si>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</si>
  <si>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</si>
  <si>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</si>
  <si>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</si>
  <si>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</si>
  <si>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</si>
  <si>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</si>
  <si>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</si>
  <si>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</si>
  <si>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</si>
  <si>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</si>
  <si>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</si>
  <si>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</si>
  <si>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</si>
  <si>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</si>
  <si>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</si>
  <si>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</si>
  <si>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</si>
  <si>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</si>
  <si>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</si>
  <si>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</si>
  <si>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</si>
  <si>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</si>
  <si>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</si>
  <si>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</si>
  <si>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</si>
  <si>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</si>
  <si>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</si>
  <si>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</si>
  <si>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</si>
  <si>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</si>
  <si>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</si>
  <si>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</si>
  <si>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</si>
  <si>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</si>
  <si>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</si>
  <si>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</si>
  <si>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</si>
  <si>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</si>
  <si>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</si>
  <si>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</si>
  <si>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</si>
  <si>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</si>
  <si>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</si>
  <si>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</si>
  <si>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</si>
  <si>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</si>
  <si>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</si>
  <si>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</si>
  <si>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</si>
  <si>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</si>
  <si>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</si>
  <si>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</si>
  <si>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</si>
  <si>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</si>
  <si>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</si>
  <si>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</si>
  <si>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</si>
  <si>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</si>
  <si>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</si>
  <si>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</si>
  <si>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</si>
  <si>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</si>
  <si>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</si>
  <si>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</si>
  <si>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</si>
  <si>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</si>
  <si>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</si>
  <si>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</si>
  <si>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</si>
  <si>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</si>
  <si>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</si>
  <si>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</si>
  <si>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</si>
  <si>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</si>
  <si>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</si>
  <si>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</si>
  <si>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</si>
  <si>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</si>
  <si>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</si>
  <si>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</si>
  <si>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</si>
  <si>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</si>
  <si>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</si>
  <si>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</si>
  <si>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</si>
  <si>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</si>
  <si>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</si>
  <si>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</si>
  <si>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</si>
  <si>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</si>
  <si>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</si>
  <si>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</si>
  <si>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</si>
  <si>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</si>
  <si>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</si>
  <si>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</si>
  <si>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</si>
  <si>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</si>
  <si>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</si>
  <si>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</si>
  <si>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</si>
  <si>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</si>
  <si>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</si>
  <si>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</si>
  <si>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</si>
  <si>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</si>
  <si>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</si>
  <si>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</si>
  <si>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</si>
  <si>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</si>
  <si>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</si>
  <si>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</si>
  <si>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</si>
  <si>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</si>
  <si>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</si>
  <si>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</si>
  <si>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</si>
  <si>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</si>
  <si>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</si>
  <si>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</si>
  <si>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</si>
  <si>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</si>
  <si>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</si>
  <si>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</si>
  <si>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</si>
  <si>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</si>
  <si>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</si>
  <si>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</si>
  <si>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</si>
  <si>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</si>
  <si>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</si>
  <si>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</si>
  <si>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</si>
  <si>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</si>
  <si>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</si>
  <si>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</si>
  <si>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</si>
  <si>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</si>
  <si>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</si>
  <si>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</si>
  <si>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</si>
  <si>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</si>
  <si>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</si>
  <si>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</si>
  <si>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</si>
  <si>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</si>
  <si>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</si>
  <si>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</si>
  <si>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</si>
  <si>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</si>
  <si>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</si>
  <si>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</si>
  <si>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</si>
  <si>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</si>
  <si>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</si>
  <si>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</si>
  <si>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</si>
  <si>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</si>
  <si>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</si>
  <si>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</si>
  <si>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</si>
  <si>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</si>
  <si>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</si>
  <si>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</si>
  <si>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</si>
  <si>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</si>
  <si>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</si>
  <si>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</si>
  <si>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</si>
  <si>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</si>
  <si>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</si>
  <si>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</si>
  <si>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</si>
  <si>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</si>
  <si>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</si>
  <si>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</si>
  <si>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</si>
  <si>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</si>
  <si>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</si>
  <si>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</si>
  <si>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</si>
  <si>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</si>
  <si>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</si>
  <si>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</si>
  <si>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</si>
  <si>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</si>
  <si>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</si>
  <si>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</si>
  <si>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</si>
  <si>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</si>
  <si>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</si>
  <si>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</si>
  <si>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</si>
  <si>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</si>
  <si>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</si>
  <si>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</si>
  <si>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</si>
  <si>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</si>
  <si>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</si>
  <si>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</si>
  <si>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</si>
  <si>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</si>
  <si>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</si>
  <si>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</si>
  <si>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</si>
  <si>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</si>
  <si>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</si>
  <si>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</si>
  <si>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</si>
  <si>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</si>
  <si>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</si>
  <si>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</si>
  <si>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</si>
  <si>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</si>
  <si>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</si>
  <si>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</si>
  <si>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</si>
  <si>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</si>
  <si>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</si>
  <si>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</si>
  <si>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</si>
  <si>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</si>
  <si>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</si>
  <si>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</si>
  <si>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</si>
  <si>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</si>
  <si>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</si>
  <si>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</si>
  <si>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</si>
  <si>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</si>
  <si>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</si>
  <si>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</si>
  <si>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</si>
  <si>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</si>
  <si>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</si>
  <si>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</si>
  <si>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</si>
  <si>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</si>
  <si>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</si>
  <si>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</si>
  <si>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</si>
  <si>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</si>
  <si>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</si>
  <si>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</si>
  <si>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</si>
  <si>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</si>
  <si>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</si>
  <si>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</si>
  <si>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</si>
  <si>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</si>
  <si>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</si>
  <si>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</si>
  <si>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</si>
  <si>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</si>
  <si>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</si>
  <si>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</si>
  <si>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</si>
  <si>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</si>
  <si>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</si>
  <si>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</si>
  <si>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</si>
  <si>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</si>
  <si>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</si>
  <si>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</si>
  <si>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</si>
  <si>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</si>
  <si>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</si>
  <si>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</si>
  <si>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</si>
  <si>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</si>
  <si>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</si>
  <si>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</si>
  <si>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</si>
  <si>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</si>
  <si>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</si>
  <si>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</si>
  <si>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</si>
  <si>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</si>
  <si>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</si>
  <si>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</si>
  <si>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</si>
  <si>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</si>
  <si>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</si>
  <si>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</si>
  <si>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</si>
  <si>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</si>
  <si>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</si>
  <si>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</si>
  <si>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</si>
  <si>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</si>
  <si>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</si>
  <si>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</si>
  <si>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</si>
  <si>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</si>
  <si>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</si>
  <si>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</si>
  <si>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</si>
  <si>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</si>
  <si>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</si>
  <si>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</si>
  <si>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</si>
  <si>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</si>
  <si>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</si>
  <si>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</si>
  <si>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</si>
  <si>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</si>
  <si>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</si>
  <si>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</si>
  <si>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</si>
  <si>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</si>
  <si>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</si>
  <si>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</si>
  <si>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</si>
  <si>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</si>
  <si>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</si>
  <si>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</si>
  <si>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</si>
  <si>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</si>
  <si>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</si>
  <si>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</si>
  <si>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</si>
  <si>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</si>
  <si>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</si>
  <si>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</si>
  <si>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</si>
  <si>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</si>
  <si>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</si>
  <si>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</si>
  <si>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</si>
  <si>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</si>
  <si>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</si>
  <si>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</si>
  <si>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</si>
  <si>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</si>
  <si>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</si>
  <si>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</si>
  <si>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</si>
  <si>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</si>
  <si>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</si>
  <si>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</si>
  <si>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</si>
  <si>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</si>
  <si>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</si>
  <si>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</si>
  <si>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</si>
  <si>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</si>
  <si>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</si>
  <si>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</si>
  <si>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</si>
  <si>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</si>
  <si>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</si>
  <si>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</si>
  <si>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</si>
  <si>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</si>
  <si>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</si>
  <si>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</si>
  <si>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</si>
  <si>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</si>
  <si>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</si>
  <si>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</si>
  <si>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</si>
  <si>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</si>
  <si>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</si>
  <si>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</si>
  <si>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</si>
  <si>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</si>
  <si>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</si>
  <si>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</si>
  <si>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</si>
  <si>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</si>
  <si>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</si>
  <si>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</si>
  <si>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</si>
  <si>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</si>
  <si>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</si>
  <si>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</si>
  <si>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</si>
  <si>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</si>
  <si>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</si>
  <si>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</si>
  <si>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</si>
  <si>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</si>
  <si>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</si>
  <si>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</si>
  <si>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</si>
  <si>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</si>
  <si>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</si>
  <si>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</si>
  <si>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</si>
  <si>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</si>
  <si>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</si>
  <si>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</si>
  <si>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</si>
  <si>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</si>
  <si>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</si>
  <si>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</si>
  <si>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</si>
  <si>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</si>
  <si>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</si>
  <si>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</si>
  <si>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</si>
  <si>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</si>
  <si>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</si>
  <si>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</si>
  <si>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</si>
  <si>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</si>
  <si>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</si>
  <si>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</si>
  <si>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</si>
  <si>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</si>
  <si>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</si>
  <si>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</si>
  <si>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</si>
  <si>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</si>
  <si>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</si>
  <si>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</si>
  <si>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</si>
  <si>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</si>
  <si>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</si>
  <si>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</si>
  <si>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</si>
  <si>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</si>
  <si>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</si>
  <si>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</si>
  <si>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</si>
  <si>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</si>
  <si>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</si>
  <si>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</si>
  <si>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</si>
  <si>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</si>
  <si>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</si>
  <si>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</si>
  <si>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</si>
  <si>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</si>
  <si>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</si>
  <si>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</si>
  <si>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</si>
  <si>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</si>
  <si>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</si>
  <si>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</si>
  <si>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</si>
  <si>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</si>
  <si>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</si>
  <si>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</si>
  <si>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</si>
  <si>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</si>
  <si>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</si>
  <si>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</si>
  <si>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</si>
  <si>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</si>
  <si>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</si>
  <si>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</si>
  <si>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</si>
  <si>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</si>
  <si>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</si>
  <si>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</si>
  <si>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</si>
  <si>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</si>
  <si>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</si>
  <si>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</si>
  <si>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</si>
  <si>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</si>
  <si>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</si>
  <si>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</si>
  <si>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</si>
  <si>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</si>
  <si>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</si>
  <si>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</si>
  <si>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</si>
  <si>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</si>
  <si>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</si>
  <si>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</si>
  <si>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</si>
  <si>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</si>
  <si>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</si>
  <si>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</si>
  <si>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</si>
  <si>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</si>
  <si>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</si>
  <si>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</si>
  <si>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</si>
  <si>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</si>
  <si>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</si>
  <si>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</si>
  <si>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</si>
  <si>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</si>
  <si>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</si>
  <si>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</si>
  <si>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</si>
  <si>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</si>
  <si>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</si>
  <si>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</si>
  <si>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</si>
  <si>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</si>
  <si>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</si>
  <si>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</si>
  <si>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</si>
  <si>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</si>
  <si>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</si>
  <si>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</si>
  <si>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</si>
  <si>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</si>
  <si>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</si>
  <si>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</si>
  <si>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</si>
  <si>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</si>
  <si>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</si>
  <si>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</si>
  <si>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</si>
  <si>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</si>
  <si>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</si>
  <si>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</si>
  <si>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</si>
  <si>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</si>
  <si>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</si>
  <si>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</si>
  <si>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</si>
  <si>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</si>
  <si>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</si>
  <si>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</si>
  <si>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</si>
  <si>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</si>
  <si>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</si>
  <si>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</si>
  <si>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</si>
  <si>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</si>
  <si>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</si>
  <si>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</si>
  <si>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</si>
  <si>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</si>
  <si>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</si>
  <si>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</si>
  <si>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</si>
  <si>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</si>
  <si>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</si>
  <si>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</si>
  <si>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</si>
  <si>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</si>
  <si>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</si>
  <si>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</si>
  <si>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</si>
  <si>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</si>
  <si>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</si>
  <si>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</si>
  <si>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</si>
  <si>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</si>
  <si>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</si>
  <si>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</si>
  <si>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</si>
  <si>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</si>
  <si>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</si>
  <si>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</si>
  <si>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</si>
  <si>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</si>
  <si>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</si>
  <si>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</si>
  <si>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</si>
  <si>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</si>
  <si>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</si>
  <si>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</si>
  <si>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</si>
  <si>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</si>
  <si>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</si>
  <si>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</si>
  <si>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</si>
  <si>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</si>
  <si>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</si>
  <si>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</si>
  <si>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</si>
  <si>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</si>
  <si>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</si>
  <si>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</si>
  <si>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</si>
  <si>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</si>
  <si>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</si>
  <si>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</si>
  <si>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</si>
  <si>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</si>
  <si>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</si>
  <si>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</si>
  <si>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</si>
  <si>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</si>
  <si>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</si>
  <si>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</si>
  <si>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</si>
  <si>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</si>
  <si>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</si>
  <si>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</si>
  <si>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</si>
  <si>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</si>
  <si>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</si>
  <si>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</si>
  <si>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</si>
  <si>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</si>
  <si>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</si>
  <si>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</si>
  <si>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</si>
  <si>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</si>
  <si>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</si>
  <si>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</si>
  <si>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</si>
  <si>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</si>
  <si>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</si>
  <si>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</si>
  <si>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</si>
  <si>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</si>
  <si>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</si>
  <si>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</si>
  <si>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</si>
  <si>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</si>
  <si>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</si>
  <si>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</si>
  <si>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</si>
  <si>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</si>
  <si>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</si>
  <si>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</si>
  <si>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</si>
  <si>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</si>
  <si>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</si>
  <si>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</si>
  <si>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</si>
  <si>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</si>
  <si>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</si>
  <si>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</si>
  <si>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</si>
  <si>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</si>
  <si>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</si>
  <si>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</si>
  <si>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</si>
  <si>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</si>
  <si>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</si>
  <si>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</si>
  <si>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</si>
  <si>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</si>
  <si>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</si>
  <si>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</si>
  <si>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</si>
  <si>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</si>
  <si>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</si>
  <si>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</si>
  <si>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</si>
  <si>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</si>
  <si>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</si>
  <si>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</si>
  <si>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</si>
  <si>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</si>
  <si>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</si>
  <si>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</si>
  <si>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</si>
  <si>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</si>
  <si>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</si>
  <si>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</si>
  <si>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</si>
  <si>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</si>
  <si>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</si>
  <si>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</si>
  <si>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</si>
  <si>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</si>
  <si>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</si>
  <si>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</si>
  <si>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</si>
  <si>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</si>
  <si>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</si>
  <si>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</si>
  <si>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</si>
  <si>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</si>
  <si>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</si>
  <si>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</si>
  <si>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</si>
  <si>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</si>
  <si>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</si>
  <si>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</si>
  <si>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</si>
  <si>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</si>
  <si>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</si>
  <si>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</si>
  <si>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</si>
  <si>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</si>
  <si>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</si>
  <si>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</si>
  <si>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</si>
  <si>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</si>
  <si>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</si>
  <si>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</si>
  <si>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</si>
  <si>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</si>
  <si>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</si>
  <si>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</si>
  <si>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</si>
  <si>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</si>
  <si>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</si>
  <si>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</si>
  <si>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</si>
  <si>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</si>
  <si>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</si>
  <si>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</si>
  <si>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</si>
  <si>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</si>
  <si>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</si>
  <si>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</si>
  <si>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</si>
  <si>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</si>
  <si>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</si>
  <si>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</si>
  <si>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</si>
  <si>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</si>
  <si>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</si>
  <si>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</si>
  <si>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</si>
  <si>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</si>
  <si>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</si>
  <si>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</si>
  <si>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</si>
  <si>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</si>
  <si>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</si>
  <si>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</si>
  <si>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</si>
  <si>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</si>
  <si>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</si>
  <si>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</si>
  <si>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</si>
  <si>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</si>
  <si>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</si>
  <si>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</si>
  <si>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</si>
  <si>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</si>
  <si>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</si>
  <si>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</si>
  <si>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</si>
  <si>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</si>
  <si>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</si>
  <si>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</si>
  <si>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</si>
  <si>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</si>
  <si>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</si>
  <si>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</si>
  <si>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</si>
  <si>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</si>
  <si>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</si>
  <si>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</si>
  <si>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</si>
  <si>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</si>
  <si>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</si>
  <si>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</si>
  <si>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</si>
  <si>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</si>
  <si>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</si>
  <si>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</si>
  <si>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</si>
  <si>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</si>
  <si>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</si>
  <si>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</si>
  <si>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</si>
  <si>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</si>
  <si>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</si>
  <si>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</si>
  <si>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</si>
  <si>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</si>
  <si>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</si>
  <si>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</si>
  <si>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</si>
  <si>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</si>
  <si>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</si>
  <si>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</si>
  <si>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</si>
  <si>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</si>
  <si>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</si>
  <si>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</si>
  <si>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</si>
  <si>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</si>
  <si>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</si>
  <si>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</si>
  <si>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</si>
  <si>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</si>
  <si>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</si>
  <si>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</si>
  <si>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</si>
  <si>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</si>
  <si>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</si>
  <si>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</si>
  <si>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</si>
  <si>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</si>
  <si>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</si>
  <si>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</si>
  <si>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</si>
  <si>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</si>
  <si>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</si>
  <si>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</si>
  <si>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</si>
  <si>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</si>
  <si>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</si>
  <si>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</si>
  <si>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</si>
  <si>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</si>
  <si>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</si>
  <si>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</si>
  <si>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</si>
  <si>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</si>
  <si>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</si>
  <si>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</si>
  <si>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</si>
  <si>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</si>
  <si>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</si>
  <si>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</si>
  <si>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</si>
  <si>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</si>
  <si>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</si>
  <si>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</si>
  <si>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</si>
  <si>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</si>
  <si>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</si>
  <si>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</si>
  <si>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</si>
  <si>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</si>
  <si>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</si>
  <si>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</si>
  <si>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</si>
  <si>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</si>
  <si>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</si>
  <si>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</si>
  <si>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</si>
  <si>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</si>
  <si>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</si>
  <si>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</si>
  <si>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</si>
  <si>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</si>
  <si>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</si>
  <si>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</si>
  <si>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</si>
  <si>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</si>
  <si>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</si>
  <si>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</si>
  <si>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</si>
  <si>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</si>
  <si>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</si>
  <si>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</si>
  <si>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</si>
  <si>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</si>
  <si>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</si>
  <si>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</si>
  <si>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</si>
  <si>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</si>
  <si>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</si>
  <si>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</si>
  <si>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</si>
  <si>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</si>
  <si>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</si>
  <si>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</si>
  <si>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</si>
  <si>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</si>
  <si>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</si>
  <si>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</si>
  <si>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</si>
  <si>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</si>
  <si>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</si>
  <si>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</si>
  <si>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</si>
  <si>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</si>
  <si>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</si>
  <si>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</si>
  <si>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</si>
  <si>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</si>
  <si>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</si>
  <si>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</si>
  <si>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</si>
  <si>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</si>
  <si>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</si>
  <si>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</si>
  <si>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</si>
  <si>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</si>
  <si>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</si>
  <si>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</si>
  <si>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</si>
  <si>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</si>
  <si>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</si>
  <si>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</si>
  <si>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</si>
  <si>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</si>
  <si>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</si>
  <si>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</si>
  <si>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</si>
  <si>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</si>
  <si>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</si>
  <si>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</si>
  <si>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</si>
  <si>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</si>
  <si>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</si>
  <si>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</si>
  <si>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</si>
  <si>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</si>
  <si>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</si>
  <si>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</si>
  <si>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</si>
  <si>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</si>
  <si>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</si>
  <si>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</si>
  <si>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</si>
  <si>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</si>
  <si>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</si>
  <si>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</si>
  <si>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</si>
  <si>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</si>
  <si>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</si>
  <si>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</si>
  <si>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</si>
  <si>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</si>
  <si>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</si>
  <si>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</si>
  <si>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</si>
  <si>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</si>
  <si>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</si>
  <si>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</si>
  <si>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</si>
  <si>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</si>
  <si>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</si>
  <si>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</si>
  <si>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</si>
  <si>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</si>
  <si>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</si>
  <si>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</si>
  <si>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</si>
  <si>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</si>
  <si>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</si>
  <si>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</si>
  <si>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</si>
  <si>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</si>
  <si>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</si>
  <si>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</si>
  <si>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</si>
  <si>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</si>
  <si>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</si>
  <si>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</si>
  <si>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</si>
  <si>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</si>
  <si>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</si>
  <si>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</si>
  <si>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</si>
  <si>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</si>
  <si>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</si>
  <si>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</si>
  <si>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</si>
  <si>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</si>
  <si>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</si>
  <si>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</si>
  <si>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</si>
  <si>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</si>
  <si>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</si>
  <si>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</si>
  <si>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</si>
  <si>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</si>
  <si>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</si>
  <si>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</si>
  <si>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</si>
  <si>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</si>
  <si>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</si>
  <si>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</si>
  <si>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</si>
  <si>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</si>
  <si>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</si>
  <si>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</si>
  <si>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</si>
  <si>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</si>
  <si>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</si>
  <si>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</si>
  <si>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</si>
  <si>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</si>
  <si>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</si>
  <si>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</si>
  <si>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</si>
  <si>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</si>
  <si>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</si>
  <si>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</si>
  <si>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</si>
  <si>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</si>
  <si>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</si>
  <si>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</si>
  <si>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</si>
  <si>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</si>
  <si>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</si>
  <si>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</si>
  <si>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</si>
  <si>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</si>
  <si>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</si>
  <si>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</si>
  <si>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</si>
  <si>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</si>
  <si>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</si>
  <si>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</si>
  <si>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</si>
  <si>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</si>
  <si>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</si>
  <si>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</si>
  <si>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</si>
  <si>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</si>
  <si>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</si>
  <si>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</si>
  <si>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</si>
  <si>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</si>
  <si>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</si>
  <si>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</si>
  <si>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</si>
  <si>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</si>
  <si>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</si>
  <si>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</si>
  <si>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</si>
  <si>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</si>
  <si>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</si>
  <si>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</si>
  <si>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</si>
  <si>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</si>
  <si>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</si>
  <si>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</si>
  <si>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</si>
  <si>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</si>
  <si>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</si>
  <si>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</si>
  <si>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</si>
  <si>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</si>
  <si>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</si>
  <si>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</si>
  <si>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</si>
  <si>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</si>
  <si>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</si>
  <si>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</si>
  <si>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</si>
  <si>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</si>
  <si>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</si>
  <si>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</si>
  <si>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</si>
  <si>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</si>
  <si>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</si>
  <si>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</si>
  <si>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</si>
  <si>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</si>
  <si>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</si>
  <si>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</si>
  <si>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</si>
  <si>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</si>
  <si>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</si>
  <si>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</si>
  <si>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</si>
  <si>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</si>
  <si>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</si>
  <si>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</si>
  <si>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</si>
  <si>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</si>
  <si>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</si>
  <si>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</si>
  <si>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</si>
  <si>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</si>
  <si>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</si>
  <si>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</si>
  <si>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</si>
  <si>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</si>
  <si>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</si>
  <si>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</si>
  <si>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</si>
  <si>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</si>
  <si>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</si>
  <si>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</si>
  <si>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</si>
  <si>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</si>
  <si>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</si>
  <si>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</si>
  <si>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</si>
  <si>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</si>
  <si>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</si>
  <si>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</si>
  <si>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</si>
  <si>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</si>
  <si>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</si>
  <si>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</si>
  <si>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</si>
  <si>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</si>
  <si>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</si>
  <si>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</si>
  <si>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</si>
  <si>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</si>
  <si>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</si>
  <si>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</si>
  <si>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</si>
  <si>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</si>
  <si>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</si>
  <si>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</si>
  <si>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</si>
  <si>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</si>
  <si>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</si>
  <si>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</si>
  <si>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</si>
  <si>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</si>
  <si>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</si>
  <si>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</si>
  <si>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</si>
  <si>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</si>
  <si>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</si>
  <si>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</si>
  <si>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</si>
  <si>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</si>
  <si>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</si>
  <si>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</si>
  <si>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</si>
  <si>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</si>
  <si>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</si>
  <si>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</si>
  <si>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</si>
  <si>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</si>
  <si>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</si>
  <si>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</si>
  <si>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</si>
  <si>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</si>
  <si>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</si>
  <si>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</si>
  <si>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</si>
  <si>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</si>
  <si>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</si>
  <si>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</si>
  <si>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</si>
  <si>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</si>
  <si>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</si>
  <si>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</si>
  <si>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</si>
  <si>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</si>
  <si>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</si>
  <si>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</si>
  <si>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</si>
  <si>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</si>
  <si>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</si>
  <si>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</si>
  <si>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</si>
  <si>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</si>
  <si>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</si>
  <si>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</si>
  <si>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</si>
  <si>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</si>
  <si>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</si>
  <si>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</si>
  <si>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</si>
  <si>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</si>
  <si>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</si>
  <si>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</si>
  <si>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</si>
  <si>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</si>
  <si>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</si>
  <si>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</si>
  <si>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</si>
  <si>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</si>
  <si>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</si>
  <si>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</si>
  <si>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</si>
  <si>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</si>
  <si>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</si>
  <si>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</si>
  <si>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</si>
  <si>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</si>
  <si>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</si>
  <si>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</si>
  <si>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</si>
  <si>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</si>
  <si>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</si>
  <si>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</si>
  <si>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</si>
  <si>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</si>
  <si>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</si>
  <si>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</si>
  <si>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</si>
  <si>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</si>
  <si>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</si>
  <si>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</si>
  <si>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</si>
  <si>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</si>
  <si>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</si>
  <si>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</si>
  <si>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</si>
  <si>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</si>
  <si>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</si>
  <si>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</si>
  <si>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</si>
  <si>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</si>
  <si>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</si>
  <si>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</si>
  <si>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</si>
  <si>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</si>
  <si>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</si>
  <si>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</si>
  <si>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</si>
  <si>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</si>
  <si>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</si>
  <si>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</si>
  <si>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</si>
  <si>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</si>
  <si>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</si>
  <si>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</si>
  <si>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</si>
  <si>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</si>
  <si>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</si>
  <si>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</si>
  <si>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</si>
  <si>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</si>
  <si>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</si>
  <si>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</si>
  <si>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</si>
  <si>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</si>
  <si>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</si>
  <si>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</si>
  <si>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</si>
  <si>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</si>
  <si>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</si>
  <si>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</si>
  <si>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</si>
  <si>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</si>
  <si>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</si>
  <si>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</si>
  <si>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</si>
  <si>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</si>
  <si>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</si>
  <si>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</si>
  <si>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</si>
  <si>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</si>
  <si>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</si>
  <si>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</si>
  <si>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</si>
  <si>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</si>
  <si>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</si>
  <si>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</si>
  <si>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</si>
  <si>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</si>
  <si>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</si>
  <si>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</si>
  <si>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</si>
  <si>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</si>
  <si>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</si>
  <si>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</si>
  <si>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</si>
  <si>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</si>
  <si>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</si>
  <si>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</si>
  <si>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</si>
  <si>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</si>
  <si>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</si>
  <si>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</si>
  <si>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</si>
  <si>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</si>
  <si>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</si>
  <si>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</si>
  <si>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</si>
  <si>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</si>
  <si>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</si>
  <si>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</si>
  <si>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</si>
  <si>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</si>
  <si>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</si>
  <si>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</si>
  <si>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</si>
  <si>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</si>
  <si>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</si>
  <si>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</si>
  <si>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</si>
  <si>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</si>
  <si>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</si>
  <si>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</si>
  <si>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</si>
  <si>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</si>
  <si>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</si>
  <si>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</si>
  <si>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</si>
  <si>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</si>
  <si>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</si>
  <si>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</si>
  <si>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</si>
  <si>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</si>
  <si>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</si>
  <si>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</si>
  <si>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</si>
  <si>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</si>
  <si>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</si>
  <si>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</si>
  <si>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</si>
  <si>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</si>
  <si>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</si>
  <si>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</si>
  <si>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</si>
  <si>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</si>
  <si>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</si>
  <si>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</si>
  <si>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</si>
  <si>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</si>
  <si>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</si>
  <si>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</si>
  <si>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</si>
  <si>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</si>
  <si>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</si>
  <si>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</si>
  <si>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</si>
  <si>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</si>
  <si>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</si>
  <si>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</si>
  <si>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</si>
  <si>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</si>
  <si>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</si>
  <si>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</si>
  <si>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</si>
  <si>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</si>
  <si>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</si>
  <si>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</si>
  <si>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</si>
  <si>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</si>
  <si>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</si>
  <si>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</si>
  <si>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</si>
  <si>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</si>
  <si>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</si>
  <si>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</si>
  <si>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</si>
  <si>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</si>
  <si>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</si>
  <si>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</si>
  <si>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</si>
  <si>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</si>
  <si>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</si>
  <si>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</si>
  <si>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</si>
  <si>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</si>
  <si>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</si>
  <si>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</si>
  <si>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</si>
  <si>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</si>
  <si>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</si>
  <si>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</si>
  <si>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</si>
  <si>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</si>
  <si>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</si>
  <si>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</si>
  <si>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</si>
  <si>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</si>
  <si>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</si>
  <si>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</si>
  <si>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</si>
  <si>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</si>
  <si>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</si>
  <si>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</si>
  <si>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</si>
  <si>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</si>
  <si>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</si>
  <si>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</si>
  <si>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</si>
  <si>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</si>
  <si>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</si>
  <si>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</si>
  <si>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</si>
  <si>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</si>
  <si>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</si>
  <si>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</si>
  <si>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</si>
  <si>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</si>
  <si>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</si>
  <si>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</si>
  <si>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</si>
  <si>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</si>
  <si>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</si>
  <si>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</si>
  <si>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</si>
  <si>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</si>
  <si>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</si>
  <si>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</si>
  <si>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</si>
  <si>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</si>
  <si>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</si>
  <si>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</si>
  <si>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</si>
  <si>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</si>
  <si>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</si>
  <si>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</si>
  <si>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</si>
  <si>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</si>
  <si>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</si>
  <si>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</si>
  <si>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</si>
  <si>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</si>
  <si>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</si>
  <si>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</si>
  <si>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</si>
  <si>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</si>
  <si>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</si>
  <si>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</si>
  <si>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</si>
  <si>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</si>
  <si>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</si>
  <si>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</si>
  <si>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</si>
  <si>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</si>
  <si>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</si>
  <si>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</si>
  <si>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</si>
  <si>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</si>
  <si>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</si>
  <si>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</si>
  <si>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</si>
  <si>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</si>
  <si>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</si>
  <si>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</si>
  <si>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</si>
  <si>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</si>
  <si>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</si>
  <si>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</si>
  <si>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</si>
  <si>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</si>
  <si>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</si>
  <si>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</si>
  <si>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</si>
  <si>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</si>
  <si>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</si>
  <si>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</si>
  <si>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</si>
  <si>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</si>
  <si>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</si>
  <si>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</si>
  <si>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</si>
  <si>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</si>
  <si>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</si>
  <si>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</si>
  <si>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</si>
  <si>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</si>
  <si>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</si>
  <si>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</si>
  <si>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</si>
  <si>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</si>
  <si>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</si>
  <si>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</si>
  <si>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</si>
  <si>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</si>
  <si>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</si>
  <si>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</si>
  <si>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</si>
  <si>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</si>
  <si>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</si>
  <si>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</si>
  <si>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</si>
  <si>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</si>
  <si>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</si>
  <si>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</si>
  <si>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</si>
  <si>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</si>
  <si>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</si>
  <si>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</si>
  <si>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</si>
  <si>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</si>
  <si>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</si>
  <si>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</si>
  <si>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</si>
  <si>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</si>
  <si>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</si>
  <si>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</si>
  <si>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</si>
  <si>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</si>
  <si>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</si>
  <si>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</si>
  <si>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</si>
  <si>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</si>
  <si>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</si>
  <si>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</si>
  <si>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</si>
  <si>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</si>
  <si>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</si>
  <si>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</si>
  <si>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</si>
  <si>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</si>
  <si>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</si>
  <si>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</si>
  <si>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</si>
  <si>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</si>
  <si>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</si>
  <si>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</si>
  <si>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</si>
  <si>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</si>
  <si>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</si>
  <si>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</si>
  <si>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</si>
  <si>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</si>
  <si>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</si>
  <si>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</si>
  <si>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</si>
  <si>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</si>
  <si>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</si>
  <si>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</si>
  <si>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</si>
  <si>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</si>
  <si>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</si>
  <si>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</si>
  <si>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</si>
  <si>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</si>
  <si>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</si>
  <si>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</si>
  <si>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</si>
  <si>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</si>
  <si>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</si>
  <si>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</si>
  <si>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</si>
  <si>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</si>
  <si>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</si>
  <si>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</si>
  <si>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</si>
  <si>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</si>
  <si>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</si>
  <si>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</si>
  <si>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</si>
  <si>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</si>
  <si>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</si>
  <si>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</si>
  <si>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</si>
  <si>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</si>
  <si>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</si>
  <si>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</si>
  <si>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</si>
  <si>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</si>
  <si>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</si>
  <si>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</si>
  <si>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</si>
  <si>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</si>
  <si>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</si>
  <si>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</si>
  <si>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</si>
  <si>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</si>
  <si>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</si>
  <si>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</si>
  <si>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</si>
  <si>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</si>
  <si>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</si>
  <si>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</si>
  <si>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</si>
  <si>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</si>
  <si>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</si>
  <si>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</si>
  <si>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</si>
  <si>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</si>
  <si>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</si>
  <si>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</si>
  <si>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</si>
  <si>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</si>
  <si>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</si>
  <si>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</si>
  <si>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</si>
  <si>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</si>
  <si>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</si>
  <si>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</si>
  <si>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</si>
  <si>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</si>
  <si>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</si>
  <si>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</si>
  <si>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</si>
  <si>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</si>
  <si>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</si>
  <si>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</si>
  <si>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</si>
  <si>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</si>
  <si>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</si>
  <si>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</si>
  <si>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</si>
  <si>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</si>
  <si>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</si>
  <si>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</si>
  <si>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</si>
  <si>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</si>
  <si>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</si>
  <si>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</si>
  <si>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</si>
  <si>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</si>
  <si>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</si>
  <si>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</si>
  <si>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</si>
  <si>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</si>
  <si>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</si>
  <si>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</si>
  <si>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</si>
  <si>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</si>
  <si>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</si>
  <si>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</si>
  <si>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</si>
  <si>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</si>
  <si>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</si>
  <si>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</si>
  <si>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</si>
  <si>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</si>
  <si>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</si>
  <si>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</si>
  <si>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</si>
  <si>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</si>
  <si>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</si>
  <si>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</si>
  <si>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</si>
  <si>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</si>
  <si>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</si>
  <si>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</si>
  <si>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</si>
  <si>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</si>
  <si>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</si>
  <si>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</si>
  <si>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</si>
  <si>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</si>
  <si>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</si>
  <si>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</si>
  <si>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</si>
  <si>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</si>
  <si>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</si>
  <si>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</si>
  <si>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</si>
  <si>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</si>
  <si>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</si>
  <si>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</si>
  <si>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</si>
  <si>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</si>
  <si>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</si>
  <si>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</si>
  <si>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</si>
  <si>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</si>
  <si>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</si>
  <si>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</si>
  <si>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</si>
  <si>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</si>
  <si>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</si>
  <si>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</si>
  <si>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</si>
  <si>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</si>
  <si>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</si>
  <si>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</si>
  <si>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</si>
  <si>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</si>
  <si>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</si>
  <si>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</si>
  <si>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</si>
  <si>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</si>
  <si>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</si>
  <si>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</si>
  <si>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</si>
  <si>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</si>
  <si>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</si>
  <si>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</si>
  <si>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</si>
  <si>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</si>
  <si>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</si>
  <si>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</si>
  <si>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</si>
  <si>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</si>
  <si>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</si>
  <si>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</si>
  <si>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</si>
  <si>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</si>
  <si>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</si>
  <si>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</si>
  <si>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</si>
  <si>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</si>
  <si>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</si>
  <si>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</si>
  <si>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</si>
  <si>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</si>
  <si>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</si>
  <si>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</si>
  <si>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</si>
  <si>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</si>
  <si>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</si>
  <si>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</si>
  <si>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</si>
  <si>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</si>
  <si>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</si>
  <si>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</si>
  <si>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</si>
  <si>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</si>
  <si>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</si>
  <si>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</si>
  <si>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</si>
  <si>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</si>
  <si>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</si>
  <si>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</si>
  <si>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</si>
  <si>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</si>
  <si>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</si>
  <si>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</si>
  <si>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</si>
  <si>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</si>
  <si>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</si>
  <si>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</si>
  <si>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</si>
  <si>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</si>
  <si>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</si>
  <si>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</si>
  <si>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</si>
  <si>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</si>
  <si>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</si>
  <si>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</si>
  <si>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</si>
  <si>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</si>
  <si>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</si>
  <si>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</si>
  <si>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</si>
  <si>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</si>
  <si>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</si>
  <si>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</si>
  <si>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</si>
  <si>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</si>
  <si>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</si>
  <si>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</si>
  <si>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</si>
  <si>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</si>
  <si>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</si>
  <si>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</si>
  <si>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</si>
  <si>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</si>
  <si>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</si>
  <si>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</si>
  <si>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</si>
  <si>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</si>
  <si>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</si>
  <si>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</si>
  <si>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</si>
  <si>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</si>
  <si>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</si>
  <si>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</si>
  <si>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</si>
  <si>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</si>
  <si>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</si>
  <si>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</si>
  <si>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</si>
  <si>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</si>
  <si>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</si>
  <si>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</si>
  <si>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</si>
  <si>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</si>
  <si>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</si>
  <si>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</si>
  <si>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</si>
  <si>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</si>
  <si>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</si>
  <si>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</si>
  <si>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</si>
  <si>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</si>
  <si>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</si>
  <si>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</si>
  <si>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</si>
  <si>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</si>
  <si>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</si>
  <si>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</si>
  <si>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</si>
  <si>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</si>
  <si>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</si>
  <si>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</si>
  <si>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</si>
  <si>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</si>
  <si>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</si>
  <si>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</si>
  <si>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</si>
  <si>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</si>
  <si>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</si>
  <si>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</si>
  <si>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</si>
  <si>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</si>
  <si>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</si>
  <si>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</si>
  <si>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</si>
  <si>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</si>
  <si>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</si>
  <si>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</si>
  <si>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</si>
  <si>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</si>
  <si>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</si>
  <si>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</si>
  <si>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</si>
  <si>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</si>
  <si>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</si>
  <si>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</si>
  <si>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</si>
  <si>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</si>
  <si>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</si>
  <si>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</si>
  <si>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</si>
  <si>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</si>
  <si>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</si>
  <si>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</si>
  <si>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</si>
  <si>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</si>
  <si>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</si>
  <si>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</si>
  <si>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</si>
  <si>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</si>
  <si>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</si>
  <si>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</si>
  <si>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</si>
  <si>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</si>
  <si>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</si>
  <si>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</si>
  <si>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</si>
  <si>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</si>
  <si>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</si>
  <si>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</si>
  <si>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</si>
  <si>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</si>
  <si>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</si>
  <si>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</si>
  <si>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</si>
  <si>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</si>
  <si>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</si>
  <si>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</si>
  <si>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</si>
  <si>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</si>
  <si>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</si>
  <si>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</si>
  <si>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</si>
  <si>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</si>
  <si>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</si>
  <si>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</si>
  <si>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</si>
  <si>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</si>
  <si>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</si>
  <si>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</si>
  <si>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</si>
  <si>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</si>
  <si>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</si>
  <si>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</si>
  <si>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</si>
  <si>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</si>
  <si>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</si>
  <si>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</si>
  <si>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</si>
  <si>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</si>
  <si>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</si>
  <si>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</si>
  <si>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</si>
  <si>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</si>
  <si>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</si>
  <si>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</si>
  <si>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</si>
  <si>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</si>
  <si>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</si>
  <si>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</si>
  <si>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</si>
  <si>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</si>
  <si>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</si>
  <si>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</si>
  <si>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</si>
  <si>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</si>
  <si>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</si>
  <si>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</si>
  <si>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</si>
  <si>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</si>
  <si>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</si>
  <si>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</si>
  <si>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</si>
  <si>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</si>
  <si>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</si>
  <si>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</si>
  <si>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</si>
  <si>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</si>
  <si>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</si>
  <si>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</si>
  <si>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</si>
  <si>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</si>
  <si>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</si>
  <si>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</si>
  <si>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</si>
  <si>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</si>
  <si>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</si>
  <si>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</si>
  <si>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</si>
  <si>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</si>
  <si>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</si>
  <si>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</si>
  <si>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</si>
  <si>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</si>
  <si>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</si>
  <si>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</si>
  <si>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</si>
  <si>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</si>
  <si>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</si>
  <si>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</si>
  <si>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</si>
  <si>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</si>
  <si>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</si>
  <si>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</si>
  <si>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</si>
  <si>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</si>
  <si>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</si>
  <si>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</si>
  <si>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</si>
  <si>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</si>
  <si>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</si>
  <si>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</si>
  <si>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</si>
  <si>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</si>
  <si>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</si>
  <si>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</si>
  <si>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</si>
  <si>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</si>
  <si>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</si>
  <si>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</si>
  <si>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</si>
  <si>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</si>
  <si>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</si>
  <si>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</si>
  <si>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</si>
  <si>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</si>
  <si>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</si>
  <si>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</si>
  <si>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</si>
  <si>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</si>
  <si>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</si>
  <si>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</si>
  <si>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</si>
  <si>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</si>
  <si>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</si>
  <si>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</si>
  <si>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</si>
  <si>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</si>
  <si>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</si>
  <si>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</si>
  <si>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</si>
  <si>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</si>
  <si>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</si>
  <si>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</si>
  <si>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</si>
  <si>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</si>
  <si>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</si>
  <si>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</si>
  <si>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</si>
  <si>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</si>
  <si>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</si>
  <si>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</si>
  <si>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</si>
  <si>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</si>
  <si>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</si>
  <si>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</si>
  <si>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</si>
  <si>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</si>
  <si>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</si>
  <si>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</si>
  <si>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</si>
  <si>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</si>
  <si>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</si>
  <si>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</si>
  <si>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</si>
  <si>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</si>
  <si>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</si>
  <si>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</si>
  <si>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</si>
  <si>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</si>
  <si>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</si>
  <si>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</si>
  <si>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</si>
  <si>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</si>
  <si>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</si>
  <si>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</si>
  <si>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</si>
  <si>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</si>
  <si>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</si>
  <si>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</si>
  <si>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</si>
  <si>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</si>
  <si>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</si>
  <si>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</si>
  <si>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</si>
  <si>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</si>
  <si>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</si>
  <si>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</si>
  <si>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</si>
  <si>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</si>
  <si>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</si>
  <si>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</si>
  <si>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</si>
  <si>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</si>
  <si>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</si>
  <si>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</si>
  <si>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</si>
  <si>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</si>
  <si>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</si>
  <si>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</si>
  <si>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</si>
  <si>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</si>
  <si>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</si>
  <si>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</si>
  <si>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</si>
  <si>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</si>
  <si>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</si>
  <si>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</si>
  <si>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</si>
  <si>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</si>
  <si>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</si>
  <si>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</si>
  <si>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</si>
  <si>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</si>
  <si>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</si>
  <si>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</si>
  <si>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</si>
  <si>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</si>
  <si>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</si>
  <si>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</si>
  <si>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</si>
  <si>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</si>
  <si>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</si>
  <si>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</si>
  <si>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</si>
  <si>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</si>
  <si>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</si>
  <si>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</si>
  <si>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</si>
  <si>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</si>
  <si>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</si>
  <si>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</si>
  <si>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</si>
  <si>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</si>
  <si>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</si>
  <si>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</si>
  <si>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</si>
  <si>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</si>
  <si>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</si>
  <si>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</si>
  <si>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</si>
  <si>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</si>
  <si>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</si>
  <si>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</si>
  <si>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</si>
  <si>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</si>
  <si>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</si>
  <si>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</si>
  <si>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</si>
  <si>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</si>
  <si>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</si>
  <si>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</si>
  <si>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</si>
  <si>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</si>
  <si>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</si>
  <si>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</si>
  <si>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</si>
  <si>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</si>
  <si>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</si>
  <si>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</si>
  <si>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</si>
  <si>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</si>
  <si>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</si>
  <si>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</si>
  <si>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</si>
  <si>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</si>
  <si>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</si>
  <si>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</si>
  <si>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</si>
  <si>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</si>
  <si>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</si>
  <si>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</si>
  <si>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</si>
  <si>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</si>
  <si>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</si>
  <si>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</si>
  <si>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</si>
  <si>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</si>
  <si>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</si>
  <si>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</si>
  <si>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</si>
  <si>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</si>
  <si>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</si>
  <si>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</si>
  <si>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</si>
  <si>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</si>
  <si>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</si>
  <si>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</si>
  <si>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</si>
  <si>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</si>
  <si>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</si>
  <si>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</si>
  <si>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</si>
  <si>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</si>
  <si>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</si>
  <si>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</si>
  <si>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</si>
  <si>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</si>
  <si>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</si>
  <si>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</si>
  <si>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</si>
  <si>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</si>
  <si>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</si>
  <si>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</si>
  <si>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</si>
  <si>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</si>
  <si>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</si>
  <si>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</si>
  <si>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</si>
  <si>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</si>
  <si>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</si>
  <si>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</si>
  <si>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</si>
  <si>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</si>
  <si>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</si>
  <si>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</si>
  <si>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</si>
  <si>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</si>
  <si>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</si>
  <si>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</si>
  <si>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</si>
  <si>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</si>
  <si>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</si>
  <si>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</si>
  <si>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</si>
  <si>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</si>
  <si>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</si>
  <si>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</si>
  <si>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</si>
  <si>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</si>
  <si>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</si>
  <si>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</si>
  <si>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</si>
  <si>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</si>
  <si>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</si>
  <si>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</si>
  <si>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</si>
  <si>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</si>
  <si>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</si>
  <si>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</si>
  <si>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</si>
  <si>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</si>
  <si>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</si>
  <si>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</si>
  <si>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</si>
  <si>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</si>
  <si>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</si>
  <si>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</si>
  <si>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</si>
  <si>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</si>
  <si>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</si>
  <si>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</si>
  <si>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</si>
  <si>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</si>
  <si>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</si>
  <si>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</si>
  <si>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</si>
  <si>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</si>
  <si>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</si>
  <si>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</si>
  <si>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</si>
  <si>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</si>
  <si>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</si>
  <si>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</si>
  <si>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</si>
  <si>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</si>
  <si>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</si>
  <si>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</si>
  <si>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</si>
  <si>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</si>
  <si>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</si>
  <si>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</si>
  <si>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</si>
  <si>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</si>
  <si>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</si>
  <si>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</si>
  <si>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</si>
  <si>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</si>
  <si>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</si>
  <si>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</si>
  <si>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</si>
  <si>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</si>
  <si>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</si>
  <si>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</si>
  <si>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</si>
  <si>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</si>
  <si>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</si>
  <si>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</si>
  <si>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</si>
  <si>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</si>
  <si>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</si>
  <si>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</si>
  <si>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</si>
  <si>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</si>
  <si>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</si>
  <si>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</si>
  <si>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</si>
  <si>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</si>
  <si>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</si>
  <si>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</si>
  <si>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</si>
  <si>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</si>
  <si>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</si>
  <si>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</si>
  <si>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</si>
  <si>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</si>
  <si>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</si>
  <si>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</si>
  <si>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</si>
  <si>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</si>
  <si>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</si>
  <si>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</si>
  <si>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</si>
  <si>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</si>
  <si>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</si>
  <si>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</si>
  <si>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</si>
  <si>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</si>
  <si>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</si>
  <si>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</si>
  <si>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</si>
  <si>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</si>
  <si>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</si>
  <si>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</si>
  <si>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</si>
  <si>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</si>
  <si>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</si>
  <si>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</si>
  <si>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</si>
  <si>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</si>
  <si>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</si>
  <si>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</si>
  <si>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</si>
  <si>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</si>
  <si>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</si>
  <si>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</si>
  <si>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</si>
  <si>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</si>
  <si>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</si>
  <si>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</si>
  <si>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</si>
  <si>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</si>
  <si>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</si>
  <si>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</si>
  <si>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</si>
  <si>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</si>
  <si>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</si>
  <si>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</si>
  <si>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</si>
  <si>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</si>
  <si>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</si>
  <si>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</si>
  <si>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</si>
  <si>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</si>
  <si>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</si>
  <si>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</si>
  <si>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</si>
  <si>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</si>
  <si>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</si>
  <si>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</si>
  <si>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</si>
  <si>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</si>
  <si>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</si>
  <si>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</si>
  <si>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</si>
  <si>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</si>
  <si>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</si>
  <si>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</si>
  <si>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</si>
  <si>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</si>
  <si>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</si>
  <si>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</si>
  <si>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</si>
  <si>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</si>
  <si>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</si>
  <si>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</si>
  <si>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</si>
  <si>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</si>
  <si>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</si>
  <si>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</si>
  <si>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</si>
  <si>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</si>
  <si>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</si>
  <si>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</si>
  <si>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</si>
  <si>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</si>
  <si>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</si>
  <si>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</si>
  <si>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</si>
  <si>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</si>
  <si>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</si>
  <si>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</si>
  <si>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</si>
  <si>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</si>
  <si>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</si>
  <si>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</si>
  <si>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</si>
  <si>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</si>
  <si>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</si>
  <si>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</si>
  <si>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</si>
  <si>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</si>
  <si>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</si>
  <si>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</si>
  <si>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</si>
  <si>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</si>
  <si>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</si>
  <si>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</si>
  <si>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</si>
  <si>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</si>
  <si>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</si>
  <si>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</si>
  <si>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</si>
  <si>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</si>
  <si>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</si>
  <si>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</si>
  <si>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</si>
  <si>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</si>
  <si>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</si>
  <si>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</si>
  <si>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</si>
  <si>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</si>
  <si>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</si>
  <si>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</si>
  <si>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</si>
  <si>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</si>
  <si>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</si>
  <si>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</si>
  <si>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</si>
  <si>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</si>
  <si>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</si>
  <si>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</si>
  <si>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</si>
  <si>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</si>
  <si>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</si>
  <si>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</si>
  <si>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</si>
  <si>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</si>
  <si>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</si>
  <si>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</si>
  <si>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</si>
  <si>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</si>
  <si>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</si>
  <si>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</si>
  <si>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</si>
  <si>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</si>
  <si>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</si>
  <si>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</si>
  <si>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</si>
  <si>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</si>
  <si>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</si>
  <si>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</si>
  <si>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</si>
  <si>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</si>
  <si>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</si>
  <si>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</si>
  <si>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</si>
  <si>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</si>
  <si>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</si>
  <si>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</si>
  <si>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</si>
  <si>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</si>
  <si>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</si>
  <si>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</si>
  <si>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</si>
  <si>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</si>
  <si>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</si>
  <si>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</si>
  <si>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</si>
  <si>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</si>
  <si>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</si>
  <si>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</si>
  <si>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</si>
  <si>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</si>
  <si>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</si>
  <si>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</si>
  <si>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</si>
  <si>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</si>
  <si>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</si>
  <si>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</si>
  <si>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</si>
  <si>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</si>
  <si>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</si>
  <si>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</si>
  <si>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</si>
  <si>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</si>
  <si>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</si>
  <si>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</si>
  <si>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</si>
  <si>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</si>
  <si>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</si>
  <si>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</si>
  <si>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</si>
  <si>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</si>
  <si>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</si>
  <si>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</si>
  <si>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</si>
  <si>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</si>
  <si>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</si>
  <si>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</si>
  <si>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</si>
  <si>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</si>
  <si>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</si>
  <si>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</si>
  <si>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</si>
  <si>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</si>
  <si>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</si>
  <si>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</si>
  <si>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</si>
  <si>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</si>
  <si>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</si>
  <si>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</si>
  <si>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</si>
  <si>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</si>
  <si>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</si>
  <si>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</si>
  <si>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</si>
  <si>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</si>
  <si>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</si>
  <si>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</si>
  <si>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</si>
  <si>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</si>
  <si>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</si>
  <si>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</si>
  <si>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</si>
  <si>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</si>
  <si>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</si>
  <si>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</si>
  <si>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</si>
  <si>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</si>
  <si>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</si>
  <si>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</si>
  <si>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</si>
  <si>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</si>
  <si>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</si>
  <si>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</si>
  <si>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</si>
  <si>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</si>
  <si>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</si>
  <si>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</si>
  <si>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</si>
  <si>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</si>
  <si>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</si>
  <si>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</si>
  <si>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</si>
  <si>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</si>
  <si>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</si>
  <si>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</si>
  <si>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</si>
  <si>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</si>
  <si>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</si>
  <si>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</si>
  <si>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</si>
  <si>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</si>
  <si>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</si>
  <si>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</si>
  <si>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</si>
  <si>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</si>
  <si>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</si>
  <si>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</si>
  <si>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</si>
  <si>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</si>
  <si>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</si>
  <si>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</si>
  <si>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</si>
  <si>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</si>
  <si>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</si>
  <si>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</si>
  <si>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</si>
  <si>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</si>
  <si>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</si>
  <si>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</si>
  <si>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</si>
  <si>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</si>
  <si>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</si>
  <si>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</si>
  <si>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</si>
  <si>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</si>
  <si>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</si>
  <si>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</si>
  <si>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</si>
  <si>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</si>
  <si>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</si>
  <si>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</si>
  <si>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</si>
  <si>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</si>
  <si>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</si>
  <si>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</si>
  <si>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</si>
  <si>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</si>
  <si>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</si>
  <si>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</si>
  <si>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</si>
  <si>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</si>
  <si>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</si>
  <si>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</si>
  <si>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</si>
  <si>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</si>
  <si>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</si>
  <si>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</si>
  <si>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</si>
  <si>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</si>
  <si>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</si>
  <si>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</si>
  <si>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</si>
  <si>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</si>
  <si>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</si>
  <si>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</si>
  <si>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</si>
  <si>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</si>
  <si>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</si>
  <si>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</si>
  <si>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</si>
  <si>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</si>
  <si>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</si>
  <si>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</si>
  <si>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</si>
  <si>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</si>
  <si>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</si>
  <si>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</si>
  <si>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</si>
  <si>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</si>
  <si>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</si>
  <si>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</si>
  <si>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</si>
  <si>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</si>
  <si>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</si>
  <si>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</si>
  <si>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</si>
  <si>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</si>
  <si>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</si>
  <si>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</si>
  <si>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</si>
  <si>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</si>
  <si>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</si>
  <si>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</si>
  <si>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</si>
  <si>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</si>
  <si>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</si>
  <si>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</si>
  <si>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</si>
  <si>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</si>
  <si>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</si>
  <si>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</si>
  <si>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</si>
  <si>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</si>
  <si>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</si>
  <si>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</si>
  <si>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</si>
  <si>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</si>
  <si>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</si>
  <si>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</si>
  <si>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</si>
  <si>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</si>
  <si>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</si>
  <si>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</si>
  <si>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</si>
  <si>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</si>
  <si>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</si>
  <si>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</si>
  <si>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</si>
  <si>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</si>
  <si>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</si>
  <si>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</si>
  <si>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</si>
  <si>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</si>
  <si>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</si>
  <si>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</si>
  <si>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</si>
  <si>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</si>
  <si>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</si>
  <si>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</si>
  <si>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</si>
  <si>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</si>
  <si>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</si>
  <si>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</si>
  <si>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</si>
  <si>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</si>
  <si>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</si>
  <si>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</si>
  <si>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</si>
  <si>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</si>
  <si>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</si>
  <si>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</si>
  <si>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</si>
  <si>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</si>
  <si>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</si>
  <si>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</si>
  <si>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</si>
  <si>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</si>
  <si>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</si>
  <si>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</si>
  <si>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</si>
  <si>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</si>
  <si>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</si>
  <si>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</si>
  <si>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</si>
  <si>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</si>
  <si>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</si>
  <si>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</si>
  <si>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</si>
  <si>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</si>
  <si>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</si>
  <si>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</si>
  <si>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</si>
  <si>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</si>
  <si>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</si>
  <si>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</si>
  <si>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</si>
  <si>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</si>
  <si>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</si>
  <si>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</si>
  <si>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</si>
  <si>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</si>
  <si>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</si>
  <si>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</si>
  <si>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</si>
  <si>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</si>
  <si>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</si>
  <si>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</si>
  <si>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</si>
  <si>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</si>
  <si>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</si>
  <si>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</si>
  <si>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</si>
  <si>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</si>
  <si>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</si>
  <si>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</si>
  <si>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</si>
  <si>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</si>
  <si>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</si>
  <si>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</si>
  <si>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</si>
  <si>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</si>
  <si>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</si>
  <si>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</si>
  <si>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</si>
  <si>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</si>
  <si>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</si>
  <si>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</si>
  <si>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</si>
  <si>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</si>
  <si>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</si>
  <si>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</si>
  <si>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</si>
  <si>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</si>
  <si>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</si>
  <si>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</si>
  <si>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</si>
  <si>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</si>
  <si>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</si>
  <si>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</si>
  <si>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</si>
  <si>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</si>
  <si>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</si>
  <si>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</si>
  <si>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</si>
  <si>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</si>
  <si>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</si>
  <si>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</si>
  <si>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</si>
  <si>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</si>
  <si>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</si>
  <si>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</si>
  <si>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</si>
  <si>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</si>
  <si>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</si>
  <si>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</si>
  <si>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</si>
  <si>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</si>
  <si>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</si>
  <si>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</si>
  <si>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</si>
  <si>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</si>
  <si>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</si>
  <si>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</si>
  <si>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</si>
  <si>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</si>
  <si>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</si>
  <si>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</si>
  <si>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</si>
  <si>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</si>
  <si>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</si>
  <si>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</si>
  <si>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</si>
  <si>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</si>
  <si>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</si>
  <si>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</si>
  <si>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</si>
  <si>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</si>
  <si>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</si>
  <si>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</si>
  <si>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</si>
  <si>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</si>
  <si>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</si>
  <si>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</si>
  <si>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</si>
  <si>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</si>
  <si>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</si>
  <si>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</si>
  <si>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</si>
  <si>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</si>
  <si>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</si>
  <si>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</si>
  <si>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</si>
  <si>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</si>
  <si>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</si>
  <si>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</si>
  <si>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</si>
  <si>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</si>
  <si>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</si>
  <si>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</si>
  <si>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</si>
  <si>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</si>
  <si>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</si>
  <si>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</si>
  <si>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</si>
  <si>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</si>
  <si>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</si>
  <si>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</si>
  <si>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</si>
  <si>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</si>
  <si>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</si>
  <si>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</si>
  <si>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</si>
  <si>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</si>
  <si>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</si>
  <si>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</si>
  <si>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</si>
  <si>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</si>
  <si>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</si>
  <si>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</si>
  <si>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</si>
  <si>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</si>
  <si>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</si>
  <si>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</si>
  <si>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</si>
  <si>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</si>
  <si>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</si>
  <si>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</si>
  <si>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</si>
  <si>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</si>
  <si>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</si>
  <si>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</si>
  <si>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</si>
  <si>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</si>
  <si>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</si>
  <si>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</si>
  <si>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</si>
  <si>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</si>
  <si>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</si>
  <si>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</si>
  <si>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</si>
  <si>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</si>
  <si>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</si>
  <si>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</si>
  <si>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</si>
  <si>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</si>
  <si>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</si>
  <si>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</si>
  <si>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</si>
  <si>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</si>
  <si>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</si>
  <si>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</si>
  <si>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</si>
  <si>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</si>
  <si>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</si>
  <si>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</si>
  <si>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</si>
  <si>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</si>
  <si>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</si>
  <si>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</si>
  <si>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</si>
  <si>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</si>
  <si>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</si>
  <si>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</si>
  <si>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</si>
  <si>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</si>
  <si>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</si>
  <si>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</si>
  <si>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</si>
  <si>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</si>
  <si>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</si>
  <si>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</si>
  <si>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</si>
  <si>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</si>
  <si>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</si>
  <si>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</si>
  <si>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</si>
  <si>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</si>
  <si>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</si>
  <si>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</si>
  <si>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</si>
  <si>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</si>
  <si>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</si>
  <si>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</si>
  <si>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</si>
  <si>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</si>
  <si>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</si>
  <si>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</si>
  <si>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</si>
  <si>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</si>
  <si>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</si>
  <si>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</si>
  <si>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</si>
  <si>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</si>
  <si>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</si>
  <si>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</si>
  <si>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</si>
  <si>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</si>
  <si>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</si>
  <si>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</si>
  <si>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</si>
  <si>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</si>
  <si>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</si>
  <si>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</si>
  <si>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</si>
  <si>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</si>
  <si>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</si>
  <si>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</si>
  <si>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</si>
  <si>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</si>
  <si>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</si>
  <si>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</si>
  <si>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</si>
  <si>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</si>
  <si>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</si>
  <si>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</si>
  <si>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</si>
  <si>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</si>
  <si>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</si>
  <si>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</si>
  <si>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</si>
  <si>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</si>
  <si>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</si>
  <si>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</si>
  <si>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</si>
  <si>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</si>
  <si>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</si>
  <si>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</si>
  <si>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</si>
  <si>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</si>
  <si>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</si>
  <si>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</si>
  <si>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</si>
  <si>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</si>
  <si>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</si>
  <si>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</si>
  <si>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</si>
  <si>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</si>
  <si>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</si>
  <si>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</si>
  <si>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</si>
  <si>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</si>
  <si>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</si>
  <si>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</si>
  <si>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</si>
  <si>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</si>
  <si>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</si>
  <si>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</si>
  <si>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</si>
  <si>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</si>
  <si>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</si>
  <si>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</si>
  <si>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</si>
  <si>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</si>
  <si>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</si>
  <si>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</si>
  <si>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</si>
  <si>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</si>
  <si>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</si>
  <si>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</si>
  <si>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</si>
  <si>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</si>
  <si>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</si>
  <si>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</si>
  <si>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</si>
  <si>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</si>
  <si>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</si>
  <si>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</si>
  <si>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</si>
  <si>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</si>
  <si>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</si>
  <si>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</si>
  <si>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</si>
  <si>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</si>
  <si>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</si>
  <si>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</si>
  <si>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</si>
  <si>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</si>
  <si>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</si>
  <si>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</si>
  <si>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</si>
  <si>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</si>
  <si>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</si>
  <si>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</si>
  <si>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</si>
  <si>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</si>
  <si>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</si>
  <si>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</si>
  <si>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</si>
  <si>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</si>
  <si>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</si>
  <si>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</si>
  <si>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</si>
  <si>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</si>
  <si>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</si>
  <si>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</si>
  <si>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</si>
  <si>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</si>
  <si>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</si>
  <si>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</si>
  <si>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</si>
  <si>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</si>
  <si>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</si>
  <si>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</si>
  <si>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</si>
  <si>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</si>
  <si>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</si>
  <si>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</si>
  <si>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</si>
  <si>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</si>
  <si>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</si>
  <si>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</si>
  <si>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</si>
  <si>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</si>
  <si>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</si>
  <si>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</si>
  <si>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</si>
  <si>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</si>
  <si>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</si>
  <si>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</si>
  <si>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</si>
  <si>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</si>
  <si>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</si>
  <si>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</si>
  <si>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</si>
  <si>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</si>
  <si>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</si>
  <si>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</si>
  <si>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</si>
  <si>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</si>
  <si>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</si>
  <si>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</si>
  <si>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</si>
  <si>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</si>
  <si>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</si>
  <si>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</si>
  <si>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</si>
  <si>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</si>
  <si>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</si>
  <si>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</si>
  <si>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</si>
  <si>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</si>
  <si>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</si>
  <si>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</si>
  <si>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</si>
  <si>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</si>
  <si>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</si>
  <si>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</si>
  <si>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</si>
  <si>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</si>
  <si>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</si>
  <si>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</si>
  <si>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</si>
  <si>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</si>
  <si>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</si>
  <si>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</si>
  <si>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</si>
  <si>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</si>
  <si>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</si>
  <si>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</si>
  <si>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</si>
  <si>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</si>
  <si>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</si>
  <si>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</si>
  <si>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</si>
  <si>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</si>
  <si>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</si>
  <si>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</si>
  <si>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</si>
  <si>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</si>
  <si>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</si>
  <si>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</si>
  <si>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</si>
  <si>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</si>
  <si>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</si>
  <si>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</si>
  <si>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</si>
  <si>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</si>
  <si>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</si>
  <si>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</si>
  <si>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</si>
  <si>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</si>
  <si>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</si>
  <si>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</si>
  <si>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</si>
  <si>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</si>
  <si>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</si>
  <si>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</si>
  <si>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</si>
  <si>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</si>
  <si>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</si>
  <si>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</si>
  <si>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</si>
  <si>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</si>
  <si>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</si>
  <si>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</si>
  <si>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</si>
  <si>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</si>
  <si>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</si>
  <si>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</si>
  <si>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</si>
  <si>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</si>
  <si>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</si>
  <si>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</si>
  <si>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</si>
  <si>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</si>
  <si>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</si>
  <si>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</si>
  <si>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</si>
  <si>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</si>
  <si>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</si>
  <si>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</si>
  <si>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</si>
  <si>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</si>
  <si>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</si>
  <si>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</si>
  <si>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</si>
  <si>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</si>
  <si>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</si>
  <si>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</si>
  <si>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</si>
  <si>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</si>
  <si>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</si>
  <si>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</si>
  <si>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</si>
  <si>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</si>
  <si>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</si>
  <si>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</si>
  <si>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</si>
  <si>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</si>
  <si>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</si>
  <si>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</si>
  <si>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</si>
  <si>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</si>
  <si>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</si>
  <si>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</si>
  <si>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</si>
  <si>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</si>
  <si>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</si>
  <si>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</si>
  <si>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</si>
  <si>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</si>
  <si>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</si>
  <si>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</si>
  <si>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</si>
  <si>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</si>
  <si>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</si>
  <si>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</si>
  <si>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</si>
  <si>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</si>
  <si>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</si>
  <si>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</si>
  <si>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</si>
  <si>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</si>
  <si>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</si>
  <si>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</si>
  <si>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</si>
  <si>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</si>
  <si>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</si>
  <si>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</si>
  <si>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</si>
  <si>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</si>
  <si>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</si>
  <si>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</si>
  <si>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</si>
  <si>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</si>
  <si>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</si>
  <si>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</si>
  <si>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</si>
  <si>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</si>
  <si>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</si>
  <si>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</si>
  <si>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</si>
  <si>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</si>
  <si>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</si>
  <si>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</si>
  <si>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</si>
  <si>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</si>
  <si>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</si>
  <si>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</si>
  <si>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</si>
  <si>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</si>
  <si>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</si>
  <si>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</si>
  <si>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</si>
  <si>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</si>
  <si>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</si>
  <si>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</si>
  <si>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</si>
  <si>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</si>
  <si>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</si>
  <si>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</si>
  <si>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</si>
  <si>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</si>
  <si>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</si>
  <si>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</si>
  <si>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</si>
  <si>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</si>
  <si>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</si>
  <si>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</si>
  <si>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</si>
  <si>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</si>
  <si>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</si>
  <si>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</si>
  <si>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</si>
  <si>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</si>
  <si>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</si>
  <si>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</si>
  <si>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</si>
  <si>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</si>
  <si>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</si>
  <si>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</si>
  <si>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</si>
  <si>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</si>
  <si>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</si>
  <si>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</si>
  <si>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</si>
  <si>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</si>
  <si>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</si>
  <si>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</si>
  <si>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</si>
  <si>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</si>
  <si>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</si>
  <si>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</si>
  <si>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</si>
  <si>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</si>
  <si>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</si>
  <si>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</si>
  <si>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</si>
  <si>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</si>
  <si>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</si>
  <si>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</si>
  <si>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</si>
  <si>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</si>
  <si>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</si>
  <si>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</si>
  <si>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</si>
  <si>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</si>
  <si>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</si>
  <si>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</si>
  <si>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</si>
  <si>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</si>
  <si>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</si>
  <si>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</si>
  <si>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</si>
  <si>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</si>
  <si>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</si>
  <si>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</si>
  <si>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</si>
  <si>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</si>
  <si>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</si>
  <si>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</si>
  <si>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</si>
  <si>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</si>
  <si>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</si>
  <si>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</si>
  <si>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</si>
  <si>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</si>
  <si>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</si>
  <si>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</si>
  <si>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</si>
  <si>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</si>
  <si>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</si>
  <si>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</si>
  <si>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</si>
  <si>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</si>
  <si>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</si>
  <si>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</si>
  <si>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</si>
  <si>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</si>
  <si>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</si>
  <si>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</si>
  <si>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</si>
  <si>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</si>
  <si>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</si>
  <si>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</si>
  <si>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</si>
  <si>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</si>
  <si>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</si>
  <si>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</si>
  <si>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</si>
  <si>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</si>
  <si>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</si>
  <si>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</si>
  <si>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</si>
  <si>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</si>
  <si>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</si>
  <si>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</si>
  <si>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</si>
  <si>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</si>
  <si>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</si>
  <si>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</si>
  <si>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</si>
  <si>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</si>
  <si>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</si>
  <si>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</si>
  <si>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</si>
  <si>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</si>
  <si>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</si>
  <si>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</si>
  <si>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</si>
  <si>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</si>
  <si>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</si>
  <si>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</si>
  <si>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</si>
  <si>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</si>
  <si>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</si>
  <si>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</si>
  <si>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</si>
  <si>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</si>
  <si>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</si>
  <si>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</si>
  <si>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</si>
  <si>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</si>
  <si>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</si>
  <si>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</si>
  <si>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</si>
  <si>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</si>
  <si>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</si>
  <si>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</si>
  <si>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</si>
  <si>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</si>
  <si>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</si>
  <si>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</si>
  <si>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</si>
  <si>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</si>
  <si>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</si>
  <si>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</si>
  <si>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</si>
  <si>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</si>
  <si>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</si>
  <si>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</si>
  <si>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</si>
  <si>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</si>
  <si>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</si>
  <si>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</si>
  <si>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</si>
  <si>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</si>
  <si>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</si>
  <si>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</si>
  <si>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</si>
  <si>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</si>
  <si>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</si>
  <si>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</si>
  <si>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</si>
  <si>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</si>
  <si>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</si>
  <si>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</si>
  <si>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</si>
  <si>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</si>
  <si>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</si>
  <si>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</si>
  <si>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</si>
  <si>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</si>
  <si>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</si>
  <si>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</si>
  <si>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</si>
  <si>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</si>
  <si>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</si>
  <si>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</si>
  <si>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</si>
  <si>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</si>
  <si>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</si>
  <si>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</si>
  <si>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</si>
  <si>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</si>
  <si>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</si>
  <si>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</si>
  <si>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</si>
  <si>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</si>
  <si>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</si>
  <si>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</si>
  <si>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</si>
  <si>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</si>
  <si>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</si>
  <si>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</si>
  <si>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</si>
  <si>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</si>
  <si>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</si>
  <si>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</si>
  <si>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</si>
  <si>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</si>
  <si>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</si>
  <si>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</si>
  <si>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</si>
  <si>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</si>
  <si>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</si>
  <si>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</si>
  <si>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</si>
  <si>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</si>
  <si>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</si>
  <si>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</si>
  <si>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</si>
  <si>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</si>
  <si>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</si>
  <si>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</si>
  <si>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</si>
  <si>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</si>
  <si>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</si>
  <si>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</si>
  <si>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</si>
  <si>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</si>
  <si>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</si>
  <si>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</si>
  <si>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</si>
  <si>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</si>
  <si>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</si>
  <si>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</si>
  <si>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</si>
  <si>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</si>
  <si>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</si>
  <si>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</si>
  <si>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</si>
  <si>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</si>
  <si>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</si>
  <si>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</si>
  <si>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</si>
  <si>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</si>
  <si>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</si>
  <si>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</si>
  <si>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</si>
  <si>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</si>
  <si>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</si>
  <si>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</si>
  <si>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</si>
  <si>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</si>
  <si>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</si>
  <si>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</si>
  <si>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</si>
  <si>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</si>
  <si>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</si>
  <si>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</si>
  <si>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</si>
  <si>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</si>
  <si>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</si>
  <si>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</si>
  <si>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</si>
  <si>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</si>
  <si>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</si>
  <si>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</si>
  <si>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</si>
  <si>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</si>
  <si>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</si>
  <si>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</si>
  <si>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</si>
  <si>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</si>
  <si>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</si>
  <si>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</si>
  <si>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</si>
  <si>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</si>
  <si>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</si>
  <si>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</si>
  <si>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</si>
  <si>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</si>
  <si>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</si>
  <si>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</si>
  <si>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</si>
  <si>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</si>
  <si>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</si>
  <si>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</si>
  <si>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</si>
  <si>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</si>
  <si>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</si>
  <si>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</si>
  <si>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</si>
  <si>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</si>
  <si>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</si>
  <si>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</si>
  <si>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</si>
  <si>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</si>
  <si>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</si>
  <si>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</si>
  <si>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</si>
  <si>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</si>
  <si>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</si>
  <si>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</si>
  <si>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</si>
  <si>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</si>
  <si>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</si>
  <si>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</si>
  <si>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</si>
  <si>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</si>
  <si>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</si>
  <si>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</si>
  <si>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</si>
  <si>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</si>
  <si>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</si>
  <si>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</si>
  <si>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</si>
  <si>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</si>
  <si>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</si>
  <si>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</si>
  <si>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</si>
  <si>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</si>
  <si>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</si>
  <si>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</si>
  <si>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</si>
  <si>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</si>
  <si>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</si>
  <si>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</si>
  <si>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</si>
  <si>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</si>
  <si>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</si>
  <si>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</si>
  <si>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</si>
  <si>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</si>
  <si>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</si>
  <si>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</si>
  <si>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</si>
  <si>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</si>
  <si>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</si>
  <si>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</si>
  <si>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</si>
  <si>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</si>
  <si>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</si>
  <si>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</si>
  <si>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</si>
  <si>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</si>
  <si>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</si>
  <si>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</si>
  <si>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</si>
  <si>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</si>
  <si>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</si>
  <si>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</si>
  <si>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</si>
  <si>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</si>
  <si>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</si>
  <si>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</si>
  <si>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</si>
  <si>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</si>
  <si>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</si>
  <si>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</si>
  <si>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</si>
  <si>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</si>
  <si>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</si>
  <si>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</si>
  <si>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</si>
  <si>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</si>
  <si>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</si>
  <si>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</si>
  <si>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</si>
  <si>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</si>
  <si>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</si>
  <si>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</si>
  <si>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</si>
  <si>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</si>
  <si>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</si>
  <si>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</si>
  <si>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</si>
  <si>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</si>
  <si>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</si>
  <si>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</si>
  <si>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</si>
  <si>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</si>
  <si>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</si>
  <si>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</si>
  <si>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</si>
  <si>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</si>
  <si>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</si>
  <si>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</si>
  <si>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</si>
  <si>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</si>
  <si>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</si>
  <si>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</si>
  <si>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</si>
  <si>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</si>
  <si>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</si>
  <si>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</si>
  <si>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</si>
  <si>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</si>
  <si>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</si>
  <si>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</si>
  <si>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</si>
  <si>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</si>
  <si>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</si>
  <si>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</si>
  <si>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</si>
  <si>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</si>
  <si>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</si>
  <si>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</si>
  <si>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</si>
  <si>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</si>
  <si>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</si>
  <si>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</si>
  <si>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</si>
  <si>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</si>
  <si>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</si>
  <si>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</si>
  <si>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</si>
  <si>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</si>
  <si>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</si>
  <si>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</si>
  <si>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</si>
  <si>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</si>
  <si>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</si>
  <si>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</si>
  <si>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</si>
  <si>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</si>
  <si>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</si>
  <si>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</si>
  <si>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</si>
  <si>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</si>
  <si>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</si>
  <si>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</si>
  <si>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</si>
  <si>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</si>
  <si>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</si>
  <si>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</si>
  <si>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</si>
  <si>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</si>
  <si>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</si>
  <si>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</si>
  <si>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</si>
  <si>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</si>
  <si>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</si>
  <si>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</si>
  <si>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</si>
  <si>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</si>
  <si>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</si>
  <si>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</si>
  <si>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</si>
  <si>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</si>
  <si>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</si>
  <si>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</si>
  <si>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</si>
  <si>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</si>
  <si>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</si>
  <si>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</si>
  <si>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</si>
  <si>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</si>
  <si>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</si>
  <si>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</si>
  <si>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</si>
  <si>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</si>
  <si>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</si>
  <si>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</si>
  <si>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</si>
  <si>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</si>
  <si>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</si>
  <si>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</si>
  <si>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</si>
  <si>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</si>
  <si>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</si>
  <si>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</si>
  <si>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</si>
  <si>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</si>
  <si>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</si>
  <si>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</si>
  <si>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</si>
  <si>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</si>
  <si>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</si>
  <si>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</si>
  <si>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</si>
  <si>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</si>
  <si>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</si>
  <si>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</si>
  <si>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</si>
  <si>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</si>
  <si>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</si>
  <si>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</si>
  <si>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</si>
  <si>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</si>
  <si>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</si>
  <si>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</si>
  <si>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</si>
  <si>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</si>
  <si>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</si>
  <si>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</si>
  <si>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</si>
  <si>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</si>
  <si>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</si>
  <si>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</si>
  <si>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</si>
  <si>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</si>
  <si>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</si>
  <si>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</si>
  <si>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</si>
  <si>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</si>
  <si>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</si>
  <si>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</si>
  <si>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</si>
  <si>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</si>
  <si>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</si>
  <si>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</si>
  <si>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</si>
  <si>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</si>
  <si>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</si>
  <si>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</si>
  <si>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</si>
  <si>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</si>
  <si>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</si>
  <si>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</si>
  <si>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</si>
  <si>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</si>
  <si>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</si>
  <si>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</si>
  <si>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</si>
  <si>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</si>
  <si>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</si>
  <si>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</si>
  <si>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</si>
  <si>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</si>
  <si>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</si>
  <si>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</si>
  <si>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</si>
  <si>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</si>
  <si>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</si>
  <si>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</si>
  <si>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</si>
  <si>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</si>
  <si>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</si>
  <si>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</si>
  <si>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</si>
  <si>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</si>
  <si>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</si>
  <si>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</si>
  <si>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</si>
  <si>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</si>
  <si>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</si>
  <si>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</si>
  <si>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</si>
  <si>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</si>
  <si>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</si>
  <si>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</si>
  <si>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</si>
  <si>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</si>
  <si>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</si>
  <si>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</si>
  <si>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</si>
  <si>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</si>
  <si>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</si>
  <si>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</si>
  <si>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</si>
  <si>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</si>
  <si>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</si>
  <si>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</si>
  <si>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</si>
  <si>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</si>
  <si>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</si>
  <si>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</si>
  <si>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</si>
  <si>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</si>
  <si>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</si>
  <si>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</si>
  <si>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</si>
  <si>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</si>
  <si>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</si>
  <si>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</si>
  <si>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</si>
  <si>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</si>
  <si>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</si>
  <si>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</si>
  <si>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</si>
  <si>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</si>
  <si>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</si>
  <si>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</si>
  <si>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</si>
  <si>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</si>
  <si>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</si>
  <si>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</si>
  <si>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</si>
  <si>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</si>
  <si>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</si>
  <si>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</si>
  <si>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</si>
  <si>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</si>
  <si>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</si>
  <si>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</si>
  <si>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</si>
  <si>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</si>
  <si>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</si>
  <si>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</si>
  <si>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</si>
  <si>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</si>
  <si>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</si>
  <si>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</si>
  <si>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</si>
  <si>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</si>
  <si>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</si>
  <si>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</si>
  <si>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</si>
  <si>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</si>
  <si>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</si>
  <si>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</si>
  <si>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</si>
  <si>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</si>
  <si>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</si>
  <si>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</si>
  <si>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</si>
  <si>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</si>
  <si>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</si>
  <si>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</si>
  <si>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</si>
  <si>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</si>
  <si>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</si>
  <si>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</si>
  <si>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</si>
  <si>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</si>
  <si>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</si>
  <si>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</si>
  <si>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</si>
  <si>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</si>
  <si>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</si>
  <si>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</si>
  <si>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</si>
  <si>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</si>
  <si>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</si>
  <si>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</si>
  <si>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</si>
  <si>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</si>
  <si>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</si>
  <si>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</si>
  <si>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</si>
  <si>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</si>
  <si>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</si>
  <si>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</si>
  <si>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</si>
  <si>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</si>
  <si>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</si>
  <si>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</si>
  <si>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</si>
  <si>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</si>
  <si>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</si>
  <si>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</si>
  <si>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</si>
  <si>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</si>
  <si>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</si>
  <si>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</si>
  <si>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</si>
  <si>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</si>
  <si>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</si>
  <si>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</si>
  <si>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</si>
  <si>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</si>
  <si>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</si>
  <si>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</si>
  <si>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</si>
  <si>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</si>
  <si>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</si>
  <si>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</si>
  <si>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</si>
  <si>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</si>
  <si>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</si>
  <si>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</si>
  <si>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</si>
  <si>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</si>
  <si>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</si>
  <si>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</si>
  <si>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</si>
  <si>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</si>
  <si>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</si>
  <si>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</si>
  <si>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</si>
  <si>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</si>
  <si>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</si>
  <si>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</si>
  <si>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</si>
  <si>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</si>
  <si>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</si>
  <si>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</si>
  <si>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</si>
  <si>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</si>
  <si>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</si>
  <si>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</si>
  <si>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</si>
  <si>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</si>
  <si>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</si>
  <si>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</si>
  <si>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</si>
  <si>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</si>
  <si>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</si>
  <si>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</si>
  <si>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</si>
  <si>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</si>
  <si>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</si>
  <si>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</si>
  <si>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</si>
  <si>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</si>
  <si>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</si>
  <si>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</si>
  <si>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</si>
  <si>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</si>
  <si>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</si>
  <si>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</si>
  <si>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</si>
  <si>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</si>
  <si>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</si>
  <si>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</si>
  <si>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</si>
  <si>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</si>
  <si>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</si>
  <si>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</si>
  <si>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</si>
  <si>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</si>
  <si>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</si>
  <si>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</si>
  <si>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</si>
  <si>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</si>
  <si>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</si>
  <si>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</si>
  <si>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</si>
  <si>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</si>
  <si>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</si>
  <si>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</si>
  <si>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</si>
  <si>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</si>
  <si>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</si>
  <si>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</si>
  <si>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</si>
  <si>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</si>
  <si>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</si>
  <si>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</si>
  <si>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</si>
  <si>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</si>
  <si>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</si>
  <si>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</si>
  <si>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</si>
  <si>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</si>
  <si>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</si>
  <si>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</si>
  <si>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</si>
  <si>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</si>
  <si>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</si>
  <si>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</si>
  <si>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</si>
  <si>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</si>
  <si>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</si>
  <si>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</si>
  <si>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</si>
  <si>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</si>
  <si>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</si>
  <si>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</si>
  <si>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</si>
  <si>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</si>
  <si>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</si>
  <si>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</si>
  <si>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</si>
  <si>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</si>
  <si>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</si>
  <si>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</si>
  <si>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</si>
  <si>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</si>
  <si>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</si>
  <si>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</si>
  <si>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</si>
  <si>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</si>
  <si>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</si>
  <si>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</si>
  <si>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</si>
  <si>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</si>
  <si>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</si>
  <si>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</si>
  <si>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</si>
  <si>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</si>
  <si>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</si>
  <si>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</si>
  <si>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</si>
  <si>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</si>
  <si>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</si>
  <si>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</si>
  <si>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</si>
  <si>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</si>
  <si>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</si>
  <si>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</si>
  <si>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</si>
  <si>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</si>
  <si>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</si>
  <si>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</si>
  <si>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</si>
  <si>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</si>
  <si>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</si>
  <si>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</si>
  <si>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</si>
  <si>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</si>
  <si>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</si>
  <si>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</si>
  <si>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</si>
  <si>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</si>
  <si>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</si>
  <si>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</si>
  <si>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</si>
  <si>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</si>
  <si>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</si>
  <si>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</si>
  <si>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</si>
  <si>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</si>
  <si>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</si>
  <si>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</si>
  <si>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</si>
  <si>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</si>
  <si>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</si>
  <si>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</si>
  <si>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</si>
  <si>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</si>
  <si>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</si>
  <si>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</si>
  <si>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</si>
  <si>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</si>
  <si>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</si>
  <si>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</si>
  <si>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</si>
  <si>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</si>
  <si>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</si>
  <si>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</si>
  <si>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</si>
  <si>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</si>
  <si>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</si>
  <si>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</si>
  <si>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</si>
  <si>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</si>
  <si>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</si>
  <si>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</si>
  <si>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</si>
  <si>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</si>
  <si>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</si>
  <si>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</si>
  <si>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</si>
  <si>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</si>
  <si>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</si>
  <si>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</si>
  <si>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</si>
  <si>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</si>
  <si>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</si>
  <si>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</si>
  <si>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</si>
  <si>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</si>
  <si>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</si>
  <si>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</si>
  <si>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</si>
  <si>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</si>
  <si>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</si>
  <si>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</si>
  <si>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</si>
  <si>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</si>
  <si>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</si>
  <si>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</si>
  <si>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</si>
  <si>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</si>
  <si>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</si>
  <si>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</si>
  <si>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</si>
  <si>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</si>
  <si>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</si>
  <si>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</si>
  <si>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</si>
  <si>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</si>
  <si>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</si>
  <si>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</si>
  <si>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</si>
  <si>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</si>
  <si>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</si>
  <si>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</si>
  <si>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</si>
  <si>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</si>
  <si>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</si>
  <si>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</si>
  <si>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</si>
  <si>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</si>
  <si>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</si>
  <si>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</si>
  <si>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</si>
  <si>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</si>
  <si>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</si>
  <si>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</si>
  <si>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</si>
  <si>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</si>
  <si>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</si>
  <si>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</si>
  <si>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</si>
  <si>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</si>
  <si>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</si>
  <si>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</si>
  <si>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</si>
  <si>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</si>
  <si>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</si>
  <si>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</si>
  <si>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</si>
  <si>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</si>
  <si>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</si>
  <si>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</si>
  <si>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</si>
  <si>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</si>
  <si>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</si>
  <si>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</si>
  <si>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</si>
  <si>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</si>
  <si>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</si>
  <si>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</si>
  <si>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</si>
  <si>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</si>
  <si>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</si>
  <si>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</si>
  <si>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</si>
  <si>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</si>
  <si>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</si>
  <si>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</si>
  <si>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</si>
  <si>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</si>
  <si>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</si>
  <si>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</si>
  <si>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</si>
  <si>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</si>
  <si>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</si>
  <si>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</si>
  <si>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</si>
  <si>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</si>
  <si>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</si>
  <si>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</si>
  <si>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</si>
  <si>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</si>
  <si>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</si>
  <si>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</si>
  <si>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</si>
  <si>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</si>
  <si>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</si>
  <si>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</si>
  <si>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</si>
  <si>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</si>
  <si>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</si>
  <si>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</si>
  <si>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</si>
  <si>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</si>
  <si>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</si>
  <si>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</si>
  <si>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</si>
  <si>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</si>
  <si>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</si>
  <si>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</si>
  <si>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</si>
  <si>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</si>
  <si>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</si>
  <si>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</si>
  <si>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</si>
  <si>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</si>
  <si>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</si>
  <si>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</si>
  <si>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</si>
  <si>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</si>
  <si>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</si>
  <si>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</si>
  <si>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</si>
  <si>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</si>
  <si>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</si>
  <si>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</si>
  <si>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</si>
  <si>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</si>
  <si>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</si>
  <si>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</si>
  <si>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</si>
  <si>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</si>
  <si>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</si>
  <si>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</si>
  <si>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</si>
  <si>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</si>
  <si>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</si>
  <si>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</si>
  <si>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</si>
  <si>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</si>
  <si>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</si>
  <si>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</si>
  <si>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</si>
  <si>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</si>
  <si>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</si>
  <si>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</si>
  <si>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</si>
  <si>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</si>
  <si>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</si>
  <si>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</si>
  <si>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</si>
  <si>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</si>
  <si>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</si>
  <si>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</si>
  <si>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</si>
  <si>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</si>
  <si>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</si>
  <si>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</si>
  <si>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</si>
  <si>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</si>
  <si>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</si>
  <si>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</si>
  <si>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</si>
  <si>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</si>
  <si>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</si>
  <si>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</si>
  <si>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</si>
  <si>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</si>
  <si>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</si>
  <si>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</si>
  <si>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</si>
  <si>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</si>
  <si>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</si>
  <si>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</si>
  <si>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</si>
  <si>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</si>
  <si>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</si>
  <si>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</si>
  <si>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</si>
  <si>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</si>
  <si>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</si>
  <si>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</si>
  <si>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</si>
  <si>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</si>
  <si>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</si>
  <si>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</si>
  <si>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</si>
  <si>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</si>
  <si>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</si>
  <si>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</si>
  <si>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</si>
  <si>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</si>
  <si>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</si>
  <si>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</si>
  <si>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</si>
  <si>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</si>
  <si>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</si>
  <si>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</si>
  <si>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</si>
  <si>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</si>
  <si>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</si>
  <si>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</si>
  <si>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</si>
  <si>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</si>
  <si>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</si>
  <si>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</si>
  <si>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</si>
  <si>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</si>
  <si>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</si>
  <si>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</si>
  <si>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</si>
  <si>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</si>
  <si>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</si>
  <si>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</si>
  <si>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</si>
  <si>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</si>
  <si>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</si>
  <si>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</si>
  <si>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</si>
  <si>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</si>
  <si>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</si>
  <si>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</si>
  <si>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</si>
  <si>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</si>
  <si>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</si>
  <si>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</si>
  <si>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</si>
  <si>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</si>
  <si>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</si>
  <si>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</si>
  <si>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</si>
  <si>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</si>
  <si>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</si>
  <si>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</si>
  <si>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</si>
  <si>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</si>
  <si>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</si>
  <si>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</si>
  <si>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</si>
  <si>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</si>
  <si>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</si>
  <si>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</si>
  <si>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</si>
  <si>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</si>
  <si>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</si>
  <si>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</si>
  <si>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</si>
  <si>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</si>
  <si>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</si>
  <si>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</si>
  <si>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</si>
  <si>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</si>
  <si>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</si>
  <si>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</si>
  <si>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</si>
  <si>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</si>
  <si>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</si>
  <si>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</si>
  <si>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</si>
  <si>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</si>
  <si>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</si>
  <si>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</si>
  <si>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</si>
  <si>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</si>
  <si>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</si>
  <si>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</si>
  <si>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</si>
  <si>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</si>
  <si>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</si>
  <si>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</si>
  <si>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</si>
  <si>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</si>
  <si>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</si>
  <si>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</si>
  <si>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</si>
  <si>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</si>
  <si>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</si>
  <si>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</si>
  <si>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</si>
  <si>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</si>
  <si>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</si>
  <si>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</si>
  <si>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</si>
  <si>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</si>
  <si>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</si>
  <si>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</si>
  <si>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</si>
  <si>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</si>
  <si>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</si>
  <si>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</si>
  <si>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</si>
  <si>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</si>
  <si>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</si>
  <si>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</si>
  <si>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</si>
  <si>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</si>
  <si>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</si>
  <si>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</si>
  <si>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</si>
  <si>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</si>
  <si>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</si>
  <si>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</si>
  <si>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</si>
  <si>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</si>
  <si>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</si>
  <si>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</si>
  <si>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</si>
  <si>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</si>
  <si>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</si>
  <si>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</si>
  <si>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</si>
  <si>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</si>
  <si>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</si>
  <si>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</si>
  <si>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</si>
  <si>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</si>
  <si>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</si>
  <si>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</si>
  <si>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</si>
  <si>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</si>
  <si>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</si>
  <si>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</si>
  <si>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</si>
  <si>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</si>
  <si>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</si>
  <si>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</si>
  <si>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</si>
  <si>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</si>
  <si>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</si>
  <si>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</si>
  <si>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</si>
  <si>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</si>
  <si>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</si>
  <si>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</si>
  <si>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</si>
  <si>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</si>
  <si>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</si>
  <si>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</si>
  <si>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</si>
  <si>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</si>
  <si>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</si>
  <si>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</si>
  <si>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</si>
  <si>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</si>
  <si>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</si>
  <si>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</si>
  <si>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</si>
  <si>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</si>
  <si>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</si>
  <si>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</si>
  <si>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</si>
  <si>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</si>
  <si>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</si>
  <si>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</si>
  <si>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</si>
  <si>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</si>
  <si>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</si>
  <si>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</si>
  <si>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</si>
  <si>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</si>
  <si>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</si>
  <si>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</si>
  <si>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</si>
  <si>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</si>
  <si>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</si>
  <si>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</si>
  <si>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</si>
  <si>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</si>
  <si>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</si>
  <si>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</si>
  <si>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</si>
  <si>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</si>
  <si>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</si>
  <si>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</si>
  <si>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</si>
  <si>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</si>
  <si>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</si>
  <si>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</si>
  <si>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</si>
  <si>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</si>
  <si>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</si>
  <si>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</si>
  <si>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</si>
  <si>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</si>
  <si>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</si>
  <si>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</si>
  <si>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</si>
  <si>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</si>
  <si>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</si>
  <si>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</si>
  <si>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</si>
  <si>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</si>
  <si>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</si>
  <si>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</si>
  <si>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</si>
  <si>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</si>
  <si>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</si>
  <si>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</si>
  <si>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</si>
  <si>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</si>
  <si>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</si>
  <si>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</si>
  <si>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</si>
  <si>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</si>
  <si>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</si>
  <si>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</si>
  <si>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</si>
  <si>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</si>
  <si>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</si>
  <si>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</si>
  <si>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</si>
  <si>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</si>
  <si>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</si>
  <si>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</si>
  <si>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</si>
  <si>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</si>
  <si>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</si>
  <si>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</si>
  <si>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</si>
  <si>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</si>
  <si>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</si>
  <si>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</si>
  <si>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</si>
  <si>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</si>
  <si>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</si>
  <si>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</si>
  <si>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</si>
  <si>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</si>
  <si>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</si>
  <si>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</si>
  <si>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</si>
  <si>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</si>
  <si>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</si>
  <si>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</si>
  <si>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</si>
  <si>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</si>
  <si>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</si>
  <si>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</si>
  <si>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</si>
  <si>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</si>
  <si>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</si>
  <si>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</si>
  <si>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</si>
  <si>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</si>
  <si>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</si>
  <si>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</si>
  <si>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</si>
  <si>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</si>
  <si>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</si>
  <si>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</si>
  <si>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</si>
  <si>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</si>
  <si>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</si>
  <si>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</si>
  <si>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</si>
  <si>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</si>
  <si>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</si>
  <si>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</si>
  <si>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</si>
  <si>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</si>
  <si>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</si>
  <si>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</si>
  <si>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</si>
  <si>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</si>
  <si>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</si>
  <si>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</si>
  <si>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</si>
  <si>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</si>
  <si>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</si>
  <si>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</si>
  <si>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</si>
  <si>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</si>
  <si>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</si>
  <si>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</si>
  <si>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</si>
  <si>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</si>
  <si>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</si>
  <si>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</si>
  <si>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</si>
  <si>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</si>
  <si>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</si>
  <si>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</si>
  <si>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</si>
  <si>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</si>
  <si>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</si>
  <si>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</si>
  <si>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</si>
  <si>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</si>
  <si>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</si>
  <si>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</si>
  <si>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</si>
  <si>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</si>
  <si>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</si>
  <si>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</si>
  <si>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</si>
  <si>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</si>
  <si>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</si>
  <si>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</si>
  <si>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</si>
  <si>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</si>
  <si>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</si>
  <si>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</si>
  <si>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</si>
  <si>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</si>
  <si>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</si>
  <si>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</si>
  <si>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</si>
  <si>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</si>
  <si>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</si>
  <si>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</si>
  <si>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</si>
  <si>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</si>
  <si>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</si>
  <si>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</si>
  <si>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</si>
  <si>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</si>
  <si>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</si>
  <si>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</si>
  <si>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</si>
  <si>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</si>
  <si>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</si>
  <si>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</si>
  <si>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</si>
  <si>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</si>
  <si>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</si>
  <si>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</si>
  <si>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</si>
  <si>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</si>
  <si>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</si>
  <si>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</si>
  <si>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</si>
  <si>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</si>
  <si>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</si>
  <si>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</si>
  <si>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</si>
  <si>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</si>
  <si>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</si>
  <si>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</si>
  <si>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</si>
  <si>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</si>
  <si>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</si>
  <si>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</si>
  <si>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</si>
  <si>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</si>
  <si>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</si>
  <si>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</si>
  <si>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</si>
  <si>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</si>
  <si>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</si>
  <si>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</si>
  <si>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</si>
  <si>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</si>
  <si>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</si>
  <si>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</si>
  <si>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</si>
  <si>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</si>
  <si>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</si>
  <si>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</si>
  <si>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</si>
  <si>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</si>
  <si>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</si>
  <si>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</si>
  <si>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</si>
  <si>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</si>
  <si>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</si>
  <si>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</si>
  <si>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</si>
  <si>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</si>
  <si>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</si>
  <si>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</si>
  <si>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</si>
  <si>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</si>
  <si>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</si>
  <si>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</si>
  <si>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</si>
  <si>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</si>
  <si>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</si>
  <si>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</si>
  <si>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</si>
  <si>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</si>
  <si>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</si>
  <si>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</si>
  <si>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</si>
  <si>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</si>
  <si>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</si>
  <si>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</si>
  <si>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</si>
  <si>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</si>
  <si>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</si>
  <si>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</si>
  <si>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</si>
  <si>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</si>
  <si>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</si>
  <si>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</si>
  <si>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</si>
  <si>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</si>
  <si>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</si>
  <si>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</si>
  <si>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</si>
  <si>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</si>
  <si>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</si>
  <si>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</si>
  <si>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</si>
  <si>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</si>
  <si>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</si>
  <si>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</si>
  <si>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</si>
  <si>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</si>
  <si>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</si>
  <si>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</si>
  <si>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</si>
  <si>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</si>
  <si>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</si>
  <si>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</si>
  <si>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</si>
  <si>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</si>
  <si>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</si>
  <si>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</si>
  <si>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</si>
  <si>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</si>
  <si>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</si>
  <si>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</si>
  <si>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</si>
  <si>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</si>
  <si>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</si>
  <si>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</si>
  <si>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</si>
  <si>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</si>
  <si>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</si>
  <si>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</si>
  <si>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</si>
  <si>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</si>
  <si>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</si>
  <si>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</si>
  <si>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</si>
  <si>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</si>
  <si>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</si>
  <si>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</si>
  <si>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</si>
  <si>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</si>
  <si>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</si>
  <si>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</si>
  <si>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</si>
  <si>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</si>
  <si>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</si>
  <si>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</si>
  <si>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</si>
  <si>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</si>
  <si>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</si>
  <si>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</si>
  <si>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</si>
  <si>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</si>
  <si>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</si>
  <si>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</si>
  <si>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</si>
  <si>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</si>
  <si>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</si>
  <si>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</si>
  <si>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</si>
  <si>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</si>
  <si>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</si>
  <si>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</si>
  <si>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</si>
  <si>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</si>
  <si>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</si>
  <si>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</si>
  <si>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</si>
  <si>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</si>
  <si>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</si>
  <si>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</si>
  <si>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</si>
  <si>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</si>
  <si>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</si>
  <si>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</si>
  <si>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</si>
  <si>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</si>
  <si>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</si>
  <si>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</si>
  <si>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</si>
  <si>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</si>
  <si>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</si>
  <si>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</si>
  <si>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</si>
  <si>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</si>
  <si>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</si>
  <si>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</si>
  <si>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</si>
  <si>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</si>
  <si>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</si>
  <si>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</si>
  <si>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</si>
  <si>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</si>
  <si>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</si>
  <si>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</si>
  <si>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</si>
  <si>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</si>
  <si>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</si>
  <si>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</si>
  <si>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</si>
  <si>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</si>
  <si>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</si>
  <si>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</si>
  <si>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</si>
  <si>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</si>
  <si>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</si>
  <si>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</si>
  <si>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</si>
  <si>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</si>
  <si>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</si>
  <si>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</si>
  <si>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</si>
  <si>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</si>
  <si>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</si>
  <si>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</si>
  <si>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</si>
  <si>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</si>
  <si>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</si>
  <si>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</si>
  <si>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</si>
  <si>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</si>
  <si>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</si>
  <si>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</si>
  <si>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</si>
  <si>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</si>
  <si>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</si>
  <si>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</si>
  <si>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</si>
  <si>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</si>
  <si>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</si>
  <si>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</si>
  <si>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</si>
  <si>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</si>
  <si>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</si>
  <si>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</si>
  <si>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</si>
  <si>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</si>
  <si>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</si>
  <si>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</si>
  <si>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</si>
  <si>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</si>
  <si>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</si>
  <si>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</si>
  <si>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</si>
  <si>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</si>
  <si>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</si>
  <si>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</si>
  <si>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</si>
  <si>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</si>
  <si>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</si>
  <si>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</si>
  <si>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</si>
  <si>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</si>
  <si>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</si>
  <si>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</si>
  <si>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</si>
  <si>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</si>
  <si>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</si>
  <si>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</si>
  <si>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</si>
  <si>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</si>
  <si>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</si>
  <si>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</si>
  <si>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</si>
  <si>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</si>
  <si>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</si>
  <si>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</si>
  <si>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</si>
  <si>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</si>
  <si>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</si>
  <si>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</si>
  <si>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</si>
  <si>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</si>
  <si>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</si>
  <si>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</si>
  <si>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</si>
  <si>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</si>
  <si>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</si>
  <si>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</si>
  <si>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</si>
  <si>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</si>
  <si>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</si>
  <si>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</si>
  <si>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</si>
  <si>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</si>
  <si>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</si>
  <si>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</si>
  <si>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</si>
  <si>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</si>
  <si>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</si>
  <si>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</si>
  <si>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</si>
  <si>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</si>
  <si>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</si>
  <si>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</si>
  <si>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</si>
  <si>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</si>
  <si>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</si>
  <si>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</si>
  <si>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</si>
  <si>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</si>
  <si>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</si>
  <si>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</si>
  <si>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</si>
  <si>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</si>
  <si>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</si>
  <si>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</si>
  <si>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</si>
  <si>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</si>
  <si>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</si>
  <si>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</si>
  <si>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</si>
  <si>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</si>
  <si>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</si>
  <si>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</si>
  <si>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</si>
  <si>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</si>
  <si>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</si>
  <si>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</si>
  <si>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</si>
  <si>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</si>
  <si>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</si>
  <si>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</si>
  <si>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</si>
  <si>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</si>
  <si>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</si>
  <si>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</si>
  <si>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</si>
  <si>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</si>
  <si>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</si>
  <si>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</si>
  <si>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</si>
  <si>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</si>
  <si>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</si>
  <si>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</si>
  <si>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</si>
  <si>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</si>
  <si>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</si>
  <si>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</si>
  <si>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</si>
  <si>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</si>
  <si>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</si>
  <si>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</si>
  <si>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</si>
  <si>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</si>
  <si>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</si>
  <si>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</si>
  <si>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</si>
  <si>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</si>
  <si>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</si>
  <si>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</si>
  <si>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</si>
  <si>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</si>
  <si>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</si>
  <si>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</si>
  <si>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</si>
  <si>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</si>
  <si>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</si>
  <si>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</si>
  <si>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</si>
  <si>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</si>
  <si>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</si>
  <si>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</si>
  <si>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</si>
  <si>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</si>
  <si>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</si>
  <si>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</si>
  <si>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</si>
  <si>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</si>
  <si>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</si>
  <si>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</si>
  <si>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</si>
  <si>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</si>
  <si>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</si>
  <si>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</si>
  <si>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</si>
  <si>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</si>
  <si>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</si>
  <si>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</si>
  <si>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</si>
  <si>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</si>
  <si>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</si>
  <si>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</si>
  <si>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</si>
  <si>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</si>
  <si>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</si>
  <si>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</si>
  <si>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</si>
  <si>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</si>
  <si>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</si>
  <si>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</si>
  <si>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</si>
  <si>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</si>
  <si>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</si>
  <si>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</si>
  <si>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</si>
  <si>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</si>
  <si>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</si>
  <si>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</si>
  <si>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</si>
  <si>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</si>
  <si>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</si>
  <si>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</si>
  <si>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</si>
  <si>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</si>
  <si>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</si>
  <si>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</si>
  <si>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</si>
  <si>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</si>
  <si>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</si>
  <si>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</si>
  <si>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</si>
  <si>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</si>
  <si>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</si>
  <si>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</si>
  <si>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</si>
  <si>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</si>
  <si>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</si>
  <si>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</si>
  <si>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</si>
  <si>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</si>
  <si>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</si>
  <si>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</si>
  <si>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</si>
  <si>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</si>
  <si>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</si>
  <si>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</si>
  <si>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</si>
  <si>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</si>
  <si>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</si>
  <si>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</si>
  <si>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</si>
  <si>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</si>
  <si>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</si>
  <si>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</si>
  <si>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</si>
  <si>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</si>
  <si>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</si>
  <si>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</si>
  <si>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</si>
  <si>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</si>
  <si>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</si>
  <si>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</si>
  <si>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</si>
  <si>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</si>
  <si>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</si>
  <si>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</si>
  <si>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</si>
  <si>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</si>
  <si>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</si>
  <si>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</si>
  <si>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</si>
  <si>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</si>
  <si>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</si>
  <si>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</si>
  <si>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</si>
  <si>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</si>
  <si>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</si>
  <si>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</si>
  <si>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</si>
  <si>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</si>
  <si>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</si>
  <si>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</si>
  <si>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</si>
  <si>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</si>
  <si>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</si>
  <si>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</si>
  <si>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</si>
  <si>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</si>
  <si>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</si>
  <si>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</si>
  <si>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</si>
  <si>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</si>
  <si>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</si>
  <si>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</si>
  <si>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</si>
  <si>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</si>
  <si>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</si>
  <si>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</si>
  <si>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</si>
  <si>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</si>
  <si>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</si>
  <si>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</si>
  <si>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</si>
  <si>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</si>
  <si>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</si>
  <si>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</si>
  <si>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</si>
  <si>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</si>
  <si>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</si>
  <si>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</si>
  <si>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</si>
  <si>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</si>
  <si>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</si>
  <si>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</si>
  <si>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</si>
  <si>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</si>
  <si>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</si>
  <si>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</si>
  <si>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</si>
  <si>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</si>
  <si>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</si>
  <si>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</si>
  <si>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</si>
  <si>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</si>
  <si>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</si>
  <si>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</si>
  <si>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</si>
  <si>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</si>
  <si>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</si>
  <si>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</si>
  <si>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</si>
  <si>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</si>
  <si>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</si>
  <si>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</si>
  <si>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</si>
  <si>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</si>
  <si>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</si>
  <si>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</si>
  <si>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</si>
  <si>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</si>
  <si>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</si>
  <si>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</si>
  <si>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</si>
  <si>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</si>
  <si>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</si>
  <si>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</si>
  <si>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</si>
  <si>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</si>
  <si>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</si>
  <si>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</si>
  <si>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</si>
  <si>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</si>
  <si>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</si>
  <si>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</si>
  <si>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</si>
  <si>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</si>
  <si>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</si>
  <si>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</si>
  <si>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</si>
  <si>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</si>
  <si>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</si>
  <si>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</si>
  <si>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</si>
  <si>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</si>
  <si>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</si>
  <si>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</si>
  <si>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</si>
  <si>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</si>
  <si>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</si>
  <si>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</si>
  <si>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</si>
  <si>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</si>
  <si>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</si>
  <si>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</si>
  <si>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</si>
  <si>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</si>
  <si>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</si>
  <si>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</si>
  <si>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</si>
  <si>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</si>
  <si>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</si>
  <si>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</si>
  <si>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</si>
  <si>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</si>
  <si>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</si>
  <si>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</si>
  <si>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</si>
  <si>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</si>
  <si>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</si>
  <si>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</si>
  <si>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</si>
  <si>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</si>
  <si>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</si>
  <si>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</si>
  <si>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</si>
  <si>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</si>
  <si>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</si>
  <si>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</si>
  <si>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</si>
  <si>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</si>
  <si>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</si>
  <si>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</si>
  <si>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</si>
  <si>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</si>
  <si>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</si>
  <si>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</si>
  <si>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</si>
  <si>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</si>
  <si>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</si>
  <si>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</si>
  <si>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</si>
  <si>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</si>
  <si>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</si>
  <si>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</si>
  <si>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</si>
  <si>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</si>
  <si>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</si>
  <si>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</si>
  <si>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</si>
  <si>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</si>
  <si>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</si>
  <si>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</si>
  <si>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</si>
  <si>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</si>
  <si>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</si>
  <si>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</si>
  <si>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</si>
  <si>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</si>
  <si>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</si>
  <si>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</si>
  <si>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</si>
  <si>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</si>
  <si>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</si>
  <si>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</si>
  <si>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</si>
  <si>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</si>
  <si>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</si>
  <si>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</si>
  <si>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</si>
  <si>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</si>
  <si>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</si>
  <si>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</si>
  <si>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</si>
  <si>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</si>
  <si>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</si>
  <si>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</si>
  <si>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</si>
  <si>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</si>
  <si>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</si>
  <si>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</si>
  <si>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</si>
  <si>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</si>
  <si>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</si>
  <si>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</si>
  <si>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</si>
  <si>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</si>
  <si>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</si>
  <si>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</si>
  <si>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</si>
  <si>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</si>
  <si>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</si>
  <si>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</si>
  <si>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</si>
  <si>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</si>
  <si>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</si>
  <si>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</si>
  <si>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</si>
  <si>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</si>
  <si>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</si>
  <si>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</si>
  <si>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</si>
  <si>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</si>
  <si>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</si>
  <si>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</si>
  <si>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</si>
  <si>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</si>
  <si>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</si>
  <si>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</si>
  <si>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</si>
  <si>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</si>
  <si>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</si>
  <si>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</si>
  <si>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</si>
  <si>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</si>
  <si>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</si>
  <si>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</si>
  <si>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</si>
  <si>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</si>
  <si>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</si>
  <si>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</si>
  <si>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</si>
  <si>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</si>
  <si>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</si>
  <si>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</si>
  <si>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</si>
  <si>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</si>
  <si>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</si>
  <si>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</si>
  <si>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</si>
  <si>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</si>
  <si>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</si>
  <si>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</si>
  <si>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</si>
  <si>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</si>
  <si>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</si>
  <si>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</si>
  <si>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</si>
  <si>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</si>
  <si>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</si>
  <si>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</si>
  <si>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</si>
  <si>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</si>
  <si>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</si>
  <si>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</si>
  <si>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</si>
  <si>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</si>
  <si>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</si>
  <si>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</si>
  <si>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</si>
  <si>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</si>
  <si>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</si>
  <si>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</si>
  <si>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</si>
  <si>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</si>
  <si>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</si>
  <si>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</si>
  <si>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</si>
  <si>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</si>
  <si>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</si>
  <si>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</si>
  <si>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</si>
  <si>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</si>
  <si>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</si>
  <si>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</si>
  <si>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</si>
  <si>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</si>
  <si>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</si>
  <si>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</si>
  <si>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</si>
  <si>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</si>
  <si>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</si>
  <si>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</si>
  <si>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</si>
  <si>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</si>
  <si>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</si>
  <si>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</si>
  <si>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</si>
  <si>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</si>
  <si>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</si>
  <si>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</si>
  <si>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</si>
  <si>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</si>
  <si>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</si>
  <si>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</si>
  <si>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</si>
  <si>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</si>
  <si>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</si>
  <si>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</si>
  <si>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</si>
  <si>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</si>
  <si>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</si>
  <si>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</si>
  <si>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</si>
  <si>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</si>
  <si>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</si>
  <si>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</si>
  <si>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</si>
  <si>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</si>
  <si>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</si>
  <si>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</si>
  <si>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</si>
  <si>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</si>
  <si>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</si>
  <si>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</si>
  <si>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</si>
  <si>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</si>
  <si>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</si>
  <si>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</si>
  <si>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</si>
  <si>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</si>
  <si>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</si>
  <si>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</si>
  <si>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</si>
  <si>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</si>
  <si>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</si>
  <si>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</si>
  <si>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</si>
  <si>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</si>
  <si>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</si>
  <si>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</si>
  <si>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</si>
  <si>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</si>
  <si>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</si>
  <si>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</si>
  <si>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</si>
  <si>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</si>
  <si>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</si>
  <si>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</si>
  <si>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</si>
  <si>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</si>
  <si>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</si>
  <si>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</si>
  <si>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</si>
  <si>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</si>
  <si>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</si>
  <si>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</si>
  <si>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</si>
  <si>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</si>
  <si>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</si>
  <si>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</si>
  <si>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</si>
  <si>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</si>
  <si>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</si>
  <si>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</si>
  <si>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</si>
  <si>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</si>
  <si>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</si>
  <si>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</si>
  <si>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</si>
  <si>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</si>
  <si>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</si>
  <si>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</si>
  <si>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</si>
  <si>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</si>
  <si>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</si>
  <si>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</si>
  <si>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</si>
  <si>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</si>
  <si>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</si>
  <si>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</si>
  <si>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</si>
  <si>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</si>
  <si>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</si>
  <si>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</si>
  <si>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</si>
  <si>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</si>
  <si>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</si>
  <si>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</si>
  <si>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</si>
  <si>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</si>
  <si>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</si>
  <si>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</si>
  <si>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</si>
  <si>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</si>
  <si>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</si>
  <si>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</si>
  <si>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</si>
  <si>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</si>
  <si>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</si>
  <si>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</si>
  <si>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</si>
  <si>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</si>
  <si>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</si>
  <si>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</si>
  <si>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</si>
  <si>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</si>
  <si>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</si>
  <si>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</si>
  <si>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</si>
  <si>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</si>
  <si>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</si>
  <si>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</si>
  <si>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</si>
  <si>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</si>
  <si>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</si>
  <si>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</si>
  <si>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</si>
  <si>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</si>
  <si>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</si>
  <si>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</si>
  <si>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</si>
  <si>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</si>
  <si>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</si>
  <si>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</si>
  <si>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</si>
  <si>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</si>
  <si>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</si>
  <si>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</si>
  <si>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</si>
  <si>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</si>
  <si>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</si>
  <si>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</si>
  <si>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</si>
  <si>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</si>
  <si>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</si>
  <si>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</si>
  <si>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</si>
  <si>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</si>
  <si>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</si>
  <si>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</si>
  <si>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</si>
  <si>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</si>
  <si>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</si>
  <si>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</si>
  <si>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</si>
  <si>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</si>
  <si>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</si>
  <si>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</si>
  <si>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</si>
  <si>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</si>
  <si>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</si>
  <si>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</si>
  <si>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</si>
  <si>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</si>
  <si>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</si>
  <si>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</si>
  <si>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</si>
  <si>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</si>
  <si>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</si>
  <si>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</si>
  <si>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</si>
  <si>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</si>
  <si>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</si>
  <si>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</si>
  <si>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</si>
  <si>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</si>
  <si>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</si>
  <si>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</si>
  <si>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</si>
  <si>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</si>
  <si>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</si>
  <si>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</si>
  <si>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</si>
  <si>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NA</t>
  </si>
  <si>
    <t>Sec_1</t>
  </si>
  <si>
    <t>Pycnonotidae</t>
  </si>
  <si>
    <t>Cornell University Museum of Vertebrates</t>
  </si>
  <si>
    <t>Hypsipetes palawanensis</t>
  </si>
  <si>
    <t>Hypsipetes philippinus</t>
  </si>
  <si>
    <t>Hypsipetes amaurotis</t>
  </si>
  <si>
    <t>Pycnonotus cinereifrons</t>
  </si>
  <si>
    <t>Pycnonotus goiavier</t>
  </si>
  <si>
    <t>Hypsipetes indicus</t>
  </si>
  <si>
    <t>Pycnonotus nigricans</t>
  </si>
  <si>
    <t>Pycnonotus plumosus</t>
  </si>
  <si>
    <t>Phyllastrephus scandens</t>
  </si>
  <si>
    <t>Pycnonotus zeylanicus</t>
  </si>
  <si>
    <t>2/28/61</t>
  </si>
  <si>
    <t>10/23/67</t>
  </si>
  <si>
    <t>1/27/09</t>
  </si>
  <si>
    <t>1877-11-30</t>
  </si>
  <si>
    <t>5/14/61</t>
  </si>
  <si>
    <t>12/18/60</t>
  </si>
  <si>
    <t>1/22/61</t>
  </si>
  <si>
    <t>5/13/61</t>
  </si>
  <si>
    <t>5/28/60</t>
  </si>
  <si>
    <t>12/17/60</t>
  </si>
  <si>
    <t>11/24/60</t>
  </si>
  <si>
    <t>10/30/60</t>
  </si>
  <si>
    <t>12/22/60</t>
  </si>
  <si>
    <t>10/31/45</t>
  </si>
  <si>
    <t>8/14/45</t>
  </si>
  <si>
    <t>10/31/11</t>
  </si>
  <si>
    <t>5/13/54</t>
  </si>
  <si>
    <t>12/29/60</t>
  </si>
  <si>
    <t>12/15/04</t>
  </si>
  <si>
    <t>2/15/32</t>
  </si>
  <si>
    <t>1894-01-31</t>
  </si>
  <si>
    <t>2/23/61</t>
  </si>
  <si>
    <t>10/21/67</t>
  </si>
  <si>
    <t>11/14/67</t>
  </si>
  <si>
    <t>6/16/27</t>
  </si>
  <si>
    <t>6/14/07</t>
  </si>
  <si>
    <t>9/13/08</t>
  </si>
  <si>
    <t>1874-12-17</t>
  </si>
  <si>
    <t>3/29/15</t>
  </si>
  <si>
    <t>11/13/67</t>
  </si>
  <si>
    <t>10/31/03</t>
  </si>
  <si>
    <t>1/17/32</t>
  </si>
  <si>
    <t>12/15/10</t>
  </si>
  <si>
    <t>6/16/60</t>
  </si>
  <si>
    <t>1/23/61</t>
  </si>
  <si>
    <t>10/16/13</t>
  </si>
  <si>
    <t>11/15/12</t>
  </si>
  <si>
    <t>12/29/08</t>
  </si>
  <si>
    <t>1894-08-18</t>
  </si>
  <si>
    <t>12/25/05</t>
  </si>
  <si>
    <t>1894-02-15</t>
  </si>
  <si>
    <t>11/27/17</t>
  </si>
  <si>
    <t>12/31/17</t>
  </si>
  <si>
    <t>12/28/60</t>
  </si>
  <si>
    <t>1/26/66</t>
  </si>
  <si>
    <t>4/21/66</t>
  </si>
  <si>
    <t>1/27/66</t>
  </si>
  <si>
    <t>1892-10-31</t>
  </si>
  <si>
    <t>1894-07-03</t>
  </si>
  <si>
    <t>3/20/61</t>
  </si>
  <si>
    <t>5/27/61</t>
  </si>
  <si>
    <t>12/29/21</t>
  </si>
  <si>
    <t>5/30/60</t>
  </si>
  <si>
    <t>11/20/08</t>
  </si>
  <si>
    <t>2/25/61</t>
  </si>
  <si>
    <t>12/15/60</t>
  </si>
  <si>
    <t>1897-11-30</t>
  </si>
  <si>
    <t>Nigeria</t>
  </si>
  <si>
    <t>Kenya</t>
  </si>
  <si>
    <t>Uganda</t>
  </si>
  <si>
    <t>Philippines</t>
  </si>
  <si>
    <t>Japan</t>
  </si>
  <si>
    <t>South Korea</t>
  </si>
  <si>
    <t>Thailand</t>
  </si>
  <si>
    <t>Myanmar</t>
  </si>
  <si>
    <t>Sri Lanka</t>
  </si>
  <si>
    <t>China</t>
  </si>
  <si>
    <t>Gabon</t>
  </si>
  <si>
    <t>Angola</t>
  </si>
  <si>
    <t>Cameroon</t>
  </si>
  <si>
    <t>India</t>
  </si>
  <si>
    <t>Madagascar</t>
  </si>
  <si>
    <t>Namibia</t>
  </si>
  <si>
    <t>Malaysia</t>
  </si>
  <si>
    <t>Brunei</t>
  </si>
  <si>
    <t>Indonesia</t>
  </si>
  <si>
    <t>Male</t>
  </si>
  <si>
    <t>Female</t>
  </si>
  <si>
    <t>Oyo, University College, Ibadan</t>
  </si>
  <si>
    <t>Coast Province, Sokoke Forest, 5 +- miles Northwest Kilifi, elevation 200 ft.</t>
  </si>
  <si>
    <t>, western region, Kibale Forest, Fort Portal, elevation 1700 meters</t>
  </si>
  <si>
    <t>, Mabera Forest, elevation 4300 ft.</t>
  </si>
  <si>
    <t>Palawan Province, Puerto Princesa</t>
  </si>
  <si>
    <t>, Bazilan</t>
  </si>
  <si>
    <t>, unspecified</t>
  </si>
  <si>
    <t>Oyo, Gambari, 16 miles South of Ibadan</t>
  </si>
  <si>
    <t>Ondo, Ondo</t>
  </si>
  <si>
    <t>, western region, Budongo Forest, Masindi, elevation 1100 meters</t>
  </si>
  <si>
    <t>, China Village, Okinawa, Ryukyu Islands</t>
  </si>
  <si>
    <t>, Yontan Area, Okinawa, Ryukyu Islands, elevation +/-300 ft.</t>
  </si>
  <si>
    <t>, Shinano</t>
  </si>
  <si>
    <t>, 6 miles North Youchon, about 45 miles Northeast Seoul</t>
  </si>
  <si>
    <t>, Sapoba, 15 miles Northeast of Sapele; Either Endo or Delat State can not determine without further details</t>
  </si>
  <si>
    <t>, Bangkok</t>
  </si>
  <si>
    <t>, Hua Hin;  Ratchaburi</t>
  </si>
  <si>
    <t>, Kani, Lake Chindwin; Burma</t>
  </si>
  <si>
    <t>, Colombo, Punduloya</t>
  </si>
  <si>
    <t>, 6 miles Southeast of Araromi, Western Nigeria</t>
  </si>
  <si>
    <t>, French Indo-China</t>
  </si>
  <si>
    <t>Hong Kong, unspecified</t>
  </si>
  <si>
    <t>, Umpokosa, Lake Ogemwe, Ogooue River</t>
  </si>
  <si>
    <t>, N'Dalla Tando, North Angola</t>
  </si>
  <si>
    <t>Tanintharyi Division, near Bokpyin; Tenasserim</t>
  </si>
  <si>
    <t>, Bitye, River Ja, elevation 2000 ft.</t>
  </si>
  <si>
    <t>, Jalapur, Cachar</t>
  </si>
  <si>
    <t>Quezon Province, Polillo</t>
  </si>
  <si>
    <t>, Mount Apo, Mindanao</t>
  </si>
  <si>
    <t>, Bang Bon</t>
  </si>
  <si>
    <t>, Victoria Point</t>
  </si>
  <si>
    <t>, River Ja</t>
  </si>
  <si>
    <t>, Malabar Coast; Karnataka &amp; Kerala</t>
  </si>
  <si>
    <t>, between Kribi and Efulen</t>
  </si>
  <si>
    <t>Oyo, 6 miles South of Araromi, 30 miles South-Southeast of Ibadan</t>
  </si>
  <si>
    <t>Ondo, 16 miles East-Northeast Ondo</t>
  </si>
  <si>
    <t>, Mabira, elevation 4000 ft.</t>
  </si>
  <si>
    <t>, Assobam, Bumba River, elevation 2000 ft.</t>
  </si>
  <si>
    <t>, Bolyada</t>
  </si>
  <si>
    <t>, River Ja, S. Cameroon</t>
  </si>
  <si>
    <t>, Colombo</t>
  </si>
  <si>
    <t>, Naga Hills, Songkam (?), elevation 5000 ft.</t>
  </si>
  <si>
    <t>, Pundaloya</t>
  </si>
  <si>
    <t>, Ramapura</t>
  </si>
  <si>
    <t>, Naga Hills, Mokikchung, elevation 4500 ft.</t>
  </si>
  <si>
    <t>, Game Reserve 3, Gobabeb</t>
  </si>
  <si>
    <t>, Game Reserve 3, Homeb</t>
  </si>
  <si>
    <t>, Game Reserve 3, Homeb (Kuiseb River)</t>
  </si>
  <si>
    <t>Sabah, Borneo, Kina Balu</t>
  </si>
  <si>
    <t>, Punduloya</t>
  </si>
  <si>
    <t>, Bang Nara</t>
  </si>
  <si>
    <t>Cross River, Obudu Plateau, elevation 5000 feet</t>
  </si>
  <si>
    <t>Ondo, Idanre</t>
  </si>
  <si>
    <t>Coast Province, Tsavo</t>
  </si>
  <si>
    <t>West Bengal, Darjeeling</t>
  </si>
  <si>
    <t>, Marabok Mountain</t>
  </si>
  <si>
    <t>, Pontianak; :West Kalimantan</t>
  </si>
  <si>
    <t xml:space="preserve">this bird look much more olive compared to th other P. fischeri </t>
  </si>
  <si>
    <t>P6 growing; not yet full length; P5=P7 for longest feather used for wing cord</t>
  </si>
  <si>
    <t>rabai</t>
  </si>
  <si>
    <t>central retrices shorter than R2 by 4 mm, but R1s not growing</t>
  </si>
  <si>
    <t>S1 molting; most of tail is molting</t>
  </si>
  <si>
    <t>most of tail is molting, including central Rs</t>
  </si>
  <si>
    <t>clear immature; molting likely longest Ps (P6 and 7) and molting central Rs</t>
  </si>
  <si>
    <t>tip of bill shot off</t>
  </si>
  <si>
    <t>humii</t>
  </si>
  <si>
    <t>S1 actively growing (symetrical on both wings)</t>
  </si>
  <si>
    <t>wing and tail feathers worn</t>
  </si>
  <si>
    <t>bill tip shot off</t>
  </si>
  <si>
    <t>LR1 growing, RR1, looks freshly replaced, but shorter than other rectrices</t>
  </si>
  <si>
    <t>central Rs growing</t>
  </si>
  <si>
    <t>both wings in rough shape; Juv: pronounced fault bars in (fully grown) rectrices</t>
  </si>
  <si>
    <t>Most of bill shot off</t>
  </si>
  <si>
    <t>P6 &amp; 7 molting (likely longest Ps); central Rs molting</t>
  </si>
  <si>
    <t>S1 shot off</t>
  </si>
  <si>
    <t>S1 growing and central rectrices</t>
  </si>
  <si>
    <t>wing and tail feathers full grown, but bird is certainly a juvenile</t>
  </si>
  <si>
    <t>S1 molting; central rectrices molting</t>
  </si>
  <si>
    <t>extensive molt in central/outer Ps and central Rs</t>
  </si>
  <si>
    <t>Rectrices shaped suggests juvie; rectrices (and wing feathers) full grown</t>
  </si>
  <si>
    <t>S1 is growing</t>
  </si>
  <si>
    <t>central Rs missing (lost during prep? Shot off?)</t>
  </si>
  <si>
    <t>cnetral Rs missing</t>
  </si>
  <si>
    <t>S1 and central Rs growing</t>
  </si>
  <si>
    <t>s1 growing on both wings</t>
  </si>
  <si>
    <t>central Rs exceptionally worn</t>
  </si>
  <si>
    <t>rhamphotheca missing from bill tip</t>
  </si>
  <si>
    <t>bill dried open, preventing measures of bill depth</t>
  </si>
  <si>
    <t>Calyptocichla serinus</t>
  </si>
  <si>
    <t>Atimastillas flavicollis</t>
  </si>
  <si>
    <t>Eurillas ansorgei</t>
  </si>
  <si>
    <t>Microtarsus melanocephalos</t>
  </si>
  <si>
    <t>Eurillas curvirostris</t>
  </si>
  <si>
    <t>Rubigula flaviventris</t>
  </si>
  <si>
    <t>Eurillas gracilis</t>
  </si>
  <si>
    <t>Rubigula gularis</t>
  </si>
  <si>
    <t>Eurillas virens</t>
  </si>
  <si>
    <t>Stelgidillas gracilirostris</t>
  </si>
  <si>
    <t>Alophoixus bres</t>
  </si>
  <si>
    <t>Rubigula melanictera</t>
  </si>
  <si>
    <t>VGR</t>
  </si>
  <si>
    <t>emeria</t>
  </si>
  <si>
    <t>Alcurus striatus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</si>
</sst>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7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16" fillId="0" borderId="0" xfId="0" applyFont="1" applyAlignment="1">
      <alignment horizontal="left"/>
    </xf>
    <xf numFmtId="0" fontId="26" fillId="0" borderId="0" xfId="46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Fon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10" defaultColWidth="8.83203125" defaultRowHeight="15" x14ac:dyDescent="0.2"/>
  <cols>
    <col min="1" max="1" width="8.83203125" style="8"/>
    <col min="2" max="2" width="9.1640625" style="8" customWidth="1"/>
    <col min="3" max="3" width="14.1640625" style="8" customWidth="1"/>
    <col min="4" max="4" width="25.6640625" style="8" customWidth="1"/>
    <col min="5" max="5" width="31.83203125" style="8" bestFit="1" customWidth="1"/>
    <col min="6" max="6" width="14.6640625" style="8" bestFit="1" customWidth="1"/>
    <col min="7" max="7" width="14.6640625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20" width="9.1640625" style="12" customWidth="1"/>
    <col min="21" max="22" width="9.1640625" style="8" customWidth="1"/>
    <col min="23" max="23" width="9.1640625" style="11" customWidth="1"/>
    <col min="24" max="24" width="9.1640625" style="12" customWidth="1"/>
    <col min="25" max="16384" width="8.83203125" style="8"/>
  </cols>
  <sheetData>
    <row r="1" spans="1:24" s="11" customFormat="1" x14ac:dyDescent="0.2">
      <c r="A1" s="9" t="s">
        <v>9690</v>
      </c>
      <c r="B1" s="6" t="s">
        <v>1</v>
      </c>
      <c r="C1" s="6" t="s">
        <v>2</v>
      </c>
      <c r="D1" s="6" t="s">
        <v>3</v>
      </c>
      <c r="E1" s="10" t="s">
        <v>9674</v>
      </c>
      <c r="F1" s="10" t="s">
        <v>9691</v>
      </c>
      <c r="G1" s="9" t="s">
        <v>9692</v>
      </c>
      <c r="H1" s="10" t="s">
        <v>9676</v>
      </c>
      <c r="I1" s="10" t="s">
        <v>9677</v>
      </c>
      <c r="J1" s="10" t="s">
        <v>9675</v>
      </c>
      <c r="K1" s="10" t="s">
        <v>9678</v>
      </c>
      <c r="L1" s="10" t="s">
        <v>9679</v>
      </c>
      <c r="M1" s="10" t="s">
        <v>9680</v>
      </c>
      <c r="N1" s="10" t="s">
        <v>9681</v>
      </c>
      <c r="O1" s="10" t="s">
        <v>9689</v>
      </c>
      <c r="P1" s="10" t="s">
        <v>9682</v>
      </c>
      <c r="Q1" s="10" t="s">
        <v>9684</v>
      </c>
      <c r="R1" s="10" t="s">
        <v>9694</v>
      </c>
      <c r="S1" s="10" t="s">
        <v>9683</v>
      </c>
      <c r="T1" s="10" t="s">
        <v>9685</v>
      </c>
      <c r="U1" s="10" t="s">
        <v>9686</v>
      </c>
      <c r="V1" s="10" t="s">
        <v>9687</v>
      </c>
      <c r="W1" s="10" t="s">
        <v>9688</v>
      </c>
      <c r="X1" s="10"/>
    </row>
    <row r="2" spans="1:24" x14ac:dyDescent="0.2">
      <c r="B2" t="s">
        <v>9695</v>
      </c>
      <c r="D2" s="8" t="s">
        <v>3947</v>
      </c>
      <c r="E2" s="8" t="s">
        <v>9696</v>
      </c>
      <c r="F2">
        <v>13382</v>
      </c>
      <c r="G2" t="s">
        <v>9742</v>
      </c>
      <c r="H2" s="8" t="s">
        <v>9821</v>
      </c>
      <c r="I2" t="s">
        <v>9766</v>
      </c>
      <c r="J2" t="s">
        <v>9783</v>
      </c>
      <c r="K2" s="12">
        <v>19.8</v>
      </c>
      <c r="L2" s="12">
        <v>10.7</v>
      </c>
      <c r="M2" s="12">
        <v>5.8</v>
      </c>
      <c r="N2" s="12">
        <v>5.2</v>
      </c>
      <c r="O2" s="12">
        <v>11.4</v>
      </c>
      <c r="P2" s="12">
        <v>22.2</v>
      </c>
      <c r="Q2" s="12">
        <v>103</v>
      </c>
      <c r="R2" s="12">
        <v>86</v>
      </c>
      <c r="S2" s="12">
        <f>Q2-R2</f>
        <v>17</v>
      </c>
      <c r="T2" s="12">
        <v>74</v>
      </c>
      <c r="W2" s="11" t="s">
        <v>9885</v>
      </c>
    </row>
    <row r="3" spans="1:24" x14ac:dyDescent="0.2">
      <c r="B3" t="s">
        <v>9695</v>
      </c>
      <c r="D3" s="8" t="s">
        <v>3947</v>
      </c>
      <c r="E3" s="8" t="s">
        <v>9696</v>
      </c>
      <c r="F3">
        <v>29829</v>
      </c>
      <c r="G3" s="13">
        <v>22042</v>
      </c>
      <c r="H3" s="8" t="s">
        <v>9785</v>
      </c>
      <c r="I3" t="s">
        <v>9764</v>
      </c>
      <c r="J3" t="s">
        <v>9783</v>
      </c>
      <c r="K3" s="12">
        <v>19.2</v>
      </c>
      <c r="L3" s="12">
        <v>10.6</v>
      </c>
      <c r="M3" s="12">
        <v>5.2</v>
      </c>
      <c r="N3" s="12">
        <v>5.5</v>
      </c>
      <c r="O3" s="12">
        <v>10.7</v>
      </c>
      <c r="P3" s="12">
        <v>21.4</v>
      </c>
      <c r="Q3" s="12">
        <v>93</v>
      </c>
      <c r="R3" s="12">
        <v>75</v>
      </c>
      <c r="S3" s="12">
        <f t="shared" ref="S3:S55" si="0">Q3-R3</f>
        <v>18</v>
      </c>
      <c r="T3" s="12">
        <v>68</v>
      </c>
      <c r="W3" s="11" t="s">
        <v>9885</v>
      </c>
    </row>
    <row r="4" spans="1:24" x14ac:dyDescent="0.2">
      <c r="B4" t="s">
        <v>9695</v>
      </c>
      <c r="D4" s="8" t="s">
        <v>3947</v>
      </c>
      <c r="E4" s="8" t="s">
        <v>9696</v>
      </c>
      <c r="F4">
        <v>29830</v>
      </c>
      <c r="G4" s="13">
        <v>22261</v>
      </c>
      <c r="H4" s="8" t="s">
        <v>9785</v>
      </c>
      <c r="I4" t="s">
        <v>9764</v>
      </c>
      <c r="J4" t="s">
        <v>9783</v>
      </c>
      <c r="K4" s="12">
        <v>18.2</v>
      </c>
      <c r="L4" s="12">
        <v>10</v>
      </c>
      <c r="M4" s="12">
        <v>5.2</v>
      </c>
      <c r="N4" s="12">
        <v>4.9000000000000004</v>
      </c>
      <c r="O4" s="12">
        <v>10.7</v>
      </c>
      <c r="P4" s="12">
        <v>21.8</v>
      </c>
      <c r="Q4" s="12">
        <v>95</v>
      </c>
      <c r="R4" s="12">
        <v>79</v>
      </c>
      <c r="S4" s="12">
        <f t="shared" si="0"/>
        <v>16</v>
      </c>
      <c r="T4" s="12">
        <v>65</v>
      </c>
      <c r="W4" s="11" t="s">
        <v>9885</v>
      </c>
    </row>
    <row r="5" spans="1:24" x14ac:dyDescent="0.2">
      <c r="B5" t="s">
        <v>9695</v>
      </c>
      <c r="D5" s="8" t="s">
        <v>3947</v>
      </c>
      <c r="E5" s="8" t="s">
        <v>9696</v>
      </c>
      <c r="F5">
        <v>13380</v>
      </c>
      <c r="G5" t="s">
        <v>9743</v>
      </c>
      <c r="H5" s="8" t="s">
        <v>9810</v>
      </c>
      <c r="I5" t="s">
        <v>9776</v>
      </c>
      <c r="J5" t="s">
        <v>9783</v>
      </c>
      <c r="K5" s="12" t="s">
        <v>9693</v>
      </c>
      <c r="L5" s="12" t="s">
        <v>9693</v>
      </c>
      <c r="M5" s="12">
        <v>5.3</v>
      </c>
      <c r="N5" s="12">
        <v>5.0999999999999996</v>
      </c>
      <c r="O5" s="12">
        <v>11.1</v>
      </c>
      <c r="P5" s="12">
        <v>21.7</v>
      </c>
      <c r="Q5" s="12">
        <v>100</v>
      </c>
      <c r="R5" s="12">
        <v>84</v>
      </c>
      <c r="S5" s="12">
        <f t="shared" si="0"/>
        <v>16</v>
      </c>
      <c r="T5" s="12">
        <v>73</v>
      </c>
      <c r="V5" s="8" t="s">
        <v>9849</v>
      </c>
      <c r="W5" s="11" t="s">
        <v>9885</v>
      </c>
    </row>
    <row r="6" spans="1:24" x14ac:dyDescent="0.2">
      <c r="B6" t="s">
        <v>9695</v>
      </c>
      <c r="D6" s="8" t="s">
        <v>3947</v>
      </c>
      <c r="E6" s="8" t="s">
        <v>9696</v>
      </c>
      <c r="F6">
        <v>13381</v>
      </c>
      <c r="G6" t="s">
        <v>9744</v>
      </c>
      <c r="H6" s="8" t="s">
        <v>9822</v>
      </c>
      <c r="I6" t="s">
        <v>9776</v>
      </c>
      <c r="J6" t="s">
        <v>9783</v>
      </c>
      <c r="K6" s="12">
        <v>17.899999999999999</v>
      </c>
      <c r="L6" s="12">
        <v>10.4</v>
      </c>
      <c r="M6" s="12">
        <v>4.9000000000000004</v>
      </c>
      <c r="N6" s="12">
        <v>5.5</v>
      </c>
      <c r="O6" s="12">
        <v>10.9</v>
      </c>
      <c r="P6" s="12">
        <v>21.7</v>
      </c>
      <c r="Q6" s="12">
        <v>98</v>
      </c>
      <c r="R6" s="12">
        <v>81</v>
      </c>
      <c r="S6" s="12">
        <f t="shared" si="0"/>
        <v>17</v>
      </c>
      <c r="T6" s="12">
        <v>73</v>
      </c>
      <c r="W6" s="11" t="s">
        <v>9885</v>
      </c>
    </row>
    <row r="7" spans="1:24" x14ac:dyDescent="0.2">
      <c r="B7" t="s">
        <v>9695</v>
      </c>
      <c r="D7" s="8" t="s">
        <v>4015</v>
      </c>
      <c r="E7" s="8" t="s">
        <v>9696</v>
      </c>
      <c r="F7">
        <v>29905</v>
      </c>
      <c r="G7" t="s">
        <v>9728</v>
      </c>
      <c r="H7" s="8" t="s">
        <v>9792</v>
      </c>
      <c r="I7" t="s">
        <v>9764</v>
      </c>
      <c r="J7" t="s">
        <v>9783</v>
      </c>
      <c r="K7" s="12">
        <v>22.4</v>
      </c>
      <c r="L7" s="12">
        <v>14.4</v>
      </c>
      <c r="M7" s="12">
        <v>5</v>
      </c>
      <c r="N7" s="12">
        <v>6.9</v>
      </c>
      <c r="O7" s="12">
        <v>11.4</v>
      </c>
      <c r="P7" s="12">
        <v>26.3</v>
      </c>
      <c r="Q7" s="12">
        <v>99</v>
      </c>
      <c r="R7" s="12">
        <v>80</v>
      </c>
      <c r="S7" s="12">
        <f t="shared" si="0"/>
        <v>19</v>
      </c>
      <c r="T7" s="12">
        <v>90</v>
      </c>
      <c r="W7" s="11" t="s">
        <v>9885</v>
      </c>
    </row>
    <row r="8" spans="1:24" x14ac:dyDescent="0.2">
      <c r="B8" t="s">
        <v>9695</v>
      </c>
      <c r="D8" s="8" t="s">
        <v>4011</v>
      </c>
      <c r="E8" s="8" t="s">
        <v>9696</v>
      </c>
      <c r="F8">
        <v>13379</v>
      </c>
      <c r="G8" t="s">
        <v>9732</v>
      </c>
      <c r="H8" s="8" t="s">
        <v>9807</v>
      </c>
      <c r="I8" t="s">
        <v>9774</v>
      </c>
      <c r="J8" t="s">
        <v>9783</v>
      </c>
      <c r="K8" s="12">
        <v>19.8</v>
      </c>
      <c r="L8" s="12">
        <v>13</v>
      </c>
      <c r="M8" s="12">
        <v>4.5</v>
      </c>
      <c r="N8" s="12">
        <v>6.3</v>
      </c>
      <c r="O8" s="12">
        <v>10.6</v>
      </c>
      <c r="P8" s="12">
        <v>25.6</v>
      </c>
      <c r="Q8" s="12">
        <v>91</v>
      </c>
      <c r="R8" s="12">
        <v>77</v>
      </c>
      <c r="S8" s="12">
        <f t="shared" si="0"/>
        <v>14</v>
      </c>
      <c r="T8" s="12">
        <v>82</v>
      </c>
      <c r="W8" s="11" t="s">
        <v>9885</v>
      </c>
    </row>
    <row r="9" spans="1:24" x14ac:dyDescent="0.2">
      <c r="B9" t="s">
        <v>9695</v>
      </c>
      <c r="D9" s="8" t="s">
        <v>4008</v>
      </c>
      <c r="E9" s="8" t="s">
        <v>9696</v>
      </c>
      <c r="F9">
        <v>33728</v>
      </c>
      <c r="G9" t="s">
        <v>9729</v>
      </c>
      <c r="H9" s="8" t="s">
        <v>9787</v>
      </c>
      <c r="I9" t="s">
        <v>9766</v>
      </c>
      <c r="J9" t="s">
        <v>9784</v>
      </c>
      <c r="K9" s="12">
        <v>21.4</v>
      </c>
      <c r="L9" s="12">
        <v>13.6</v>
      </c>
      <c r="M9" s="12">
        <v>5.4</v>
      </c>
      <c r="N9" s="12">
        <v>6.7</v>
      </c>
      <c r="O9" s="12">
        <v>14</v>
      </c>
      <c r="P9" s="12">
        <v>26.5</v>
      </c>
      <c r="Q9" s="12">
        <v>100</v>
      </c>
      <c r="R9" s="12">
        <v>85</v>
      </c>
      <c r="S9" s="12">
        <f t="shared" si="0"/>
        <v>15</v>
      </c>
      <c r="T9" s="12">
        <v>93</v>
      </c>
      <c r="W9" s="11" t="s">
        <v>9885</v>
      </c>
    </row>
    <row r="10" spans="1:24" x14ac:dyDescent="0.2">
      <c r="B10" t="s">
        <v>9695</v>
      </c>
      <c r="D10" s="8" t="s">
        <v>9873</v>
      </c>
      <c r="E10" s="8" t="s">
        <v>9696</v>
      </c>
      <c r="F10">
        <v>29899</v>
      </c>
      <c r="G10" s="13">
        <v>22590</v>
      </c>
      <c r="H10" s="8" t="s">
        <v>9792</v>
      </c>
      <c r="I10" t="s">
        <v>9764</v>
      </c>
      <c r="J10" t="s">
        <v>9784</v>
      </c>
      <c r="K10" s="12">
        <v>19.2</v>
      </c>
      <c r="L10" s="12">
        <v>11.5</v>
      </c>
      <c r="M10" s="12">
        <v>5</v>
      </c>
      <c r="N10" s="12">
        <v>5.2</v>
      </c>
      <c r="O10" s="12">
        <v>11</v>
      </c>
      <c r="P10" s="12">
        <v>21.5</v>
      </c>
      <c r="Q10" s="12">
        <v>87</v>
      </c>
      <c r="R10" s="12">
        <v>74</v>
      </c>
      <c r="S10" s="12">
        <f t="shared" si="0"/>
        <v>13</v>
      </c>
      <c r="T10" s="12">
        <v>78</v>
      </c>
      <c r="W10" s="11" t="s">
        <v>9885</v>
      </c>
    </row>
    <row r="11" spans="1:24" x14ac:dyDescent="0.2">
      <c r="B11" t="s">
        <v>9695</v>
      </c>
      <c r="D11" s="8" t="s">
        <v>9873</v>
      </c>
      <c r="E11" s="8" t="s">
        <v>9696</v>
      </c>
      <c r="F11">
        <v>13384</v>
      </c>
      <c r="G11" t="s">
        <v>9758</v>
      </c>
      <c r="H11" s="8" t="s">
        <v>9810</v>
      </c>
      <c r="I11" t="s">
        <v>9776</v>
      </c>
      <c r="J11" t="s">
        <v>9784</v>
      </c>
      <c r="K11" s="12">
        <v>19.5</v>
      </c>
      <c r="L11" s="12">
        <v>12.3</v>
      </c>
      <c r="M11" s="12">
        <v>4.7</v>
      </c>
      <c r="N11" s="12">
        <v>5</v>
      </c>
      <c r="O11" s="12">
        <v>10.6</v>
      </c>
      <c r="P11" s="12">
        <v>23.8</v>
      </c>
      <c r="Q11" s="12">
        <v>90</v>
      </c>
      <c r="R11" s="12" t="s">
        <v>9693</v>
      </c>
      <c r="S11" s="12" t="s">
        <v>9693</v>
      </c>
      <c r="T11" s="12">
        <v>75</v>
      </c>
      <c r="V11" s="8" t="s">
        <v>9865</v>
      </c>
      <c r="W11" s="11" t="s">
        <v>9885</v>
      </c>
    </row>
    <row r="12" spans="1:24" x14ac:dyDescent="0.2">
      <c r="B12" t="s">
        <v>9695</v>
      </c>
      <c r="D12" s="8" t="s">
        <v>3959</v>
      </c>
      <c r="E12" s="8" t="s">
        <v>9696</v>
      </c>
      <c r="F12">
        <v>13398</v>
      </c>
      <c r="G12" t="s">
        <v>9733</v>
      </c>
      <c r="H12" s="8" t="s">
        <v>9808</v>
      </c>
      <c r="I12" t="s">
        <v>9775</v>
      </c>
      <c r="J12" t="s">
        <v>9783</v>
      </c>
      <c r="K12" s="12">
        <v>18.399999999999999</v>
      </c>
      <c r="L12" s="12">
        <v>10.199999999999999</v>
      </c>
      <c r="M12" s="12">
        <v>5.0999999999999996</v>
      </c>
      <c r="N12" s="12">
        <v>6</v>
      </c>
      <c r="O12" s="12">
        <v>10.199999999999999</v>
      </c>
      <c r="P12" s="12">
        <v>22.6</v>
      </c>
      <c r="Q12" s="12">
        <v>93</v>
      </c>
      <c r="R12" s="12">
        <v>78</v>
      </c>
      <c r="S12" s="12">
        <f t="shared" si="0"/>
        <v>15</v>
      </c>
      <c r="T12" s="12">
        <v>81</v>
      </c>
      <c r="W12" s="11" t="s">
        <v>9885</v>
      </c>
    </row>
    <row r="13" spans="1:24" x14ac:dyDescent="0.2">
      <c r="B13" t="s">
        <v>9695</v>
      </c>
      <c r="D13" s="8" t="s">
        <v>9874</v>
      </c>
      <c r="E13" s="8" t="s">
        <v>9696</v>
      </c>
      <c r="F13">
        <v>33735</v>
      </c>
      <c r="G13" s="13">
        <v>24726</v>
      </c>
      <c r="H13" s="8" t="s">
        <v>9794</v>
      </c>
      <c r="I13" t="s">
        <v>9766</v>
      </c>
      <c r="J13" t="s">
        <v>9783</v>
      </c>
      <c r="K13" s="12">
        <v>22.2</v>
      </c>
      <c r="L13" s="12">
        <v>12.6</v>
      </c>
      <c r="M13" s="12">
        <v>5.6</v>
      </c>
      <c r="N13" s="12">
        <v>6.3</v>
      </c>
      <c r="O13" s="12">
        <v>12.7</v>
      </c>
      <c r="P13" s="12">
        <v>26.7</v>
      </c>
      <c r="Q13" s="12">
        <v>107</v>
      </c>
      <c r="R13" s="12" t="s">
        <v>9693</v>
      </c>
      <c r="S13" s="12" t="s">
        <v>9693</v>
      </c>
      <c r="T13" s="12" t="s">
        <v>9693</v>
      </c>
      <c r="V13" s="8" t="s">
        <v>9862</v>
      </c>
      <c r="W13" s="11" t="s">
        <v>9885</v>
      </c>
    </row>
    <row r="14" spans="1:24" x14ac:dyDescent="0.2">
      <c r="B14" t="s">
        <v>9695</v>
      </c>
      <c r="D14" s="8" t="s">
        <v>9874</v>
      </c>
      <c r="E14" s="8" t="s">
        <v>9696</v>
      </c>
      <c r="F14">
        <v>13371</v>
      </c>
      <c r="G14" t="s">
        <v>9735</v>
      </c>
      <c r="H14" s="8" t="s">
        <v>9810</v>
      </c>
      <c r="I14" t="s">
        <v>9776</v>
      </c>
      <c r="J14" t="s">
        <v>9784</v>
      </c>
      <c r="K14" s="12">
        <v>21.1</v>
      </c>
      <c r="L14" s="12">
        <v>12.2</v>
      </c>
      <c r="M14" s="12">
        <v>5.3</v>
      </c>
      <c r="N14" s="12">
        <v>5.7</v>
      </c>
      <c r="O14" s="12">
        <v>10.9</v>
      </c>
      <c r="P14" s="12">
        <v>26.7</v>
      </c>
      <c r="Q14" s="12">
        <v>102</v>
      </c>
      <c r="R14" s="12">
        <v>87</v>
      </c>
      <c r="S14" s="12">
        <f t="shared" si="0"/>
        <v>15</v>
      </c>
      <c r="T14" s="12">
        <v>96</v>
      </c>
      <c r="W14" s="11" t="s">
        <v>9885</v>
      </c>
    </row>
    <row r="15" spans="1:24" x14ac:dyDescent="0.2">
      <c r="B15" t="s">
        <v>9695</v>
      </c>
      <c r="D15" s="8" t="s">
        <v>9874</v>
      </c>
      <c r="E15" s="8" t="s">
        <v>9696</v>
      </c>
      <c r="F15">
        <v>33734</v>
      </c>
      <c r="G15" t="s">
        <v>9736</v>
      </c>
      <c r="H15" s="8" t="s">
        <v>9794</v>
      </c>
      <c r="I15" t="s">
        <v>9766</v>
      </c>
      <c r="J15" t="s">
        <v>9784</v>
      </c>
      <c r="K15" s="12">
        <v>20.399999999999999</v>
      </c>
      <c r="L15" s="12">
        <v>11.1</v>
      </c>
      <c r="M15" s="12">
        <v>5.6</v>
      </c>
      <c r="N15" s="12">
        <v>5.8</v>
      </c>
      <c r="O15" s="12">
        <v>11.9</v>
      </c>
      <c r="P15" s="12">
        <v>26.8</v>
      </c>
      <c r="Q15" s="12" t="s">
        <v>9693</v>
      </c>
      <c r="R15" s="12" t="s">
        <v>9693</v>
      </c>
      <c r="S15" s="12" t="s">
        <v>9693</v>
      </c>
      <c r="T15" s="12" t="s">
        <v>9693</v>
      </c>
      <c r="V15" s="14" t="s">
        <v>9863</v>
      </c>
      <c r="W15" s="11" t="s">
        <v>9885</v>
      </c>
    </row>
    <row r="16" spans="1:24" x14ac:dyDescent="0.2">
      <c r="B16" t="s">
        <v>9695</v>
      </c>
      <c r="D16" s="8" t="s">
        <v>9874</v>
      </c>
      <c r="E16" s="8" t="s">
        <v>9696</v>
      </c>
      <c r="F16">
        <v>29833</v>
      </c>
      <c r="G16" s="13">
        <v>22164</v>
      </c>
      <c r="H16" s="8" t="s">
        <v>9785</v>
      </c>
      <c r="I16" t="s">
        <v>9764</v>
      </c>
      <c r="J16" t="s">
        <v>9783</v>
      </c>
      <c r="K16" s="12">
        <v>23.2</v>
      </c>
      <c r="L16" s="12">
        <v>13.5</v>
      </c>
      <c r="M16" s="12">
        <v>6.3</v>
      </c>
      <c r="N16" s="12">
        <v>6.5</v>
      </c>
      <c r="O16" s="12">
        <v>12</v>
      </c>
      <c r="P16" s="12">
        <v>28.2</v>
      </c>
      <c r="Q16" s="12">
        <v>112</v>
      </c>
      <c r="R16" s="12">
        <v>95</v>
      </c>
      <c r="S16" s="12">
        <f t="shared" si="0"/>
        <v>17</v>
      </c>
      <c r="T16" s="12">
        <v>106</v>
      </c>
      <c r="W16" s="11" t="s">
        <v>9885</v>
      </c>
    </row>
    <row r="17" spans="2:23" x14ac:dyDescent="0.2">
      <c r="B17" t="s">
        <v>9695</v>
      </c>
      <c r="D17" s="8" t="s">
        <v>3961</v>
      </c>
      <c r="E17" s="8" t="s">
        <v>9696</v>
      </c>
      <c r="F17">
        <v>29832</v>
      </c>
      <c r="G17" s="13">
        <v>22042</v>
      </c>
      <c r="H17" s="8" t="s">
        <v>9785</v>
      </c>
      <c r="I17" t="s">
        <v>9764</v>
      </c>
      <c r="J17" t="s">
        <v>9783</v>
      </c>
      <c r="K17" s="12">
        <v>20.399999999999999</v>
      </c>
      <c r="L17" s="12">
        <v>12</v>
      </c>
      <c r="M17" s="12">
        <v>5.5</v>
      </c>
      <c r="N17" s="12">
        <v>6.2</v>
      </c>
      <c r="O17" s="12">
        <v>11.4</v>
      </c>
      <c r="P17" s="12">
        <v>25.4</v>
      </c>
      <c r="Q17" s="12">
        <v>99</v>
      </c>
      <c r="R17" s="12">
        <v>87</v>
      </c>
      <c r="S17" s="12">
        <f t="shared" si="0"/>
        <v>12</v>
      </c>
      <c r="T17" s="12">
        <v>91</v>
      </c>
      <c r="W17" s="11" t="s">
        <v>9885</v>
      </c>
    </row>
    <row r="18" spans="2:23" x14ac:dyDescent="0.2">
      <c r="B18" t="s">
        <v>9695</v>
      </c>
      <c r="D18" s="8" t="s">
        <v>3961</v>
      </c>
      <c r="E18" s="8" t="s">
        <v>9696</v>
      </c>
      <c r="F18">
        <v>29831</v>
      </c>
      <c r="G18" t="s">
        <v>9759</v>
      </c>
      <c r="H18" s="8" t="s">
        <v>9785</v>
      </c>
      <c r="I18" t="s">
        <v>9764</v>
      </c>
      <c r="J18" t="s">
        <v>9784</v>
      </c>
      <c r="K18" s="12">
        <v>18.7</v>
      </c>
      <c r="L18" s="12">
        <v>10.4</v>
      </c>
      <c r="M18" s="12">
        <v>5.3</v>
      </c>
      <c r="N18" s="12">
        <v>5.7</v>
      </c>
      <c r="O18" s="12">
        <v>9.8000000000000007</v>
      </c>
      <c r="P18" s="12">
        <v>25.9</v>
      </c>
      <c r="Q18" s="12">
        <v>95</v>
      </c>
      <c r="R18" s="12">
        <v>81</v>
      </c>
      <c r="S18" s="12">
        <f t="shared" si="0"/>
        <v>14</v>
      </c>
      <c r="T18" s="12">
        <v>89</v>
      </c>
      <c r="W18" s="11" t="s">
        <v>9885</v>
      </c>
    </row>
    <row r="19" spans="2:23" x14ac:dyDescent="0.2">
      <c r="B19" t="s">
        <v>9695</v>
      </c>
      <c r="D19" s="8" t="s">
        <v>3961</v>
      </c>
      <c r="E19" s="8" t="s">
        <v>9696</v>
      </c>
      <c r="F19">
        <v>13388</v>
      </c>
      <c r="G19" t="s">
        <v>9760</v>
      </c>
      <c r="H19" s="8" t="s">
        <v>9808</v>
      </c>
      <c r="I19" t="s">
        <v>9775</v>
      </c>
      <c r="J19" t="s">
        <v>9783</v>
      </c>
      <c r="K19" s="12">
        <v>21.6</v>
      </c>
      <c r="L19" s="12">
        <v>12</v>
      </c>
      <c r="M19" s="12">
        <v>5.3</v>
      </c>
      <c r="N19" s="12">
        <v>6.7</v>
      </c>
      <c r="O19" s="12">
        <v>12.4</v>
      </c>
      <c r="P19" s="12">
        <v>26.2</v>
      </c>
      <c r="Q19" s="12">
        <v>105</v>
      </c>
      <c r="R19" s="12" t="s">
        <v>9693</v>
      </c>
      <c r="S19" s="12" t="s">
        <v>9693</v>
      </c>
      <c r="T19" s="12" t="s">
        <v>9693</v>
      </c>
      <c r="V19" s="8" t="s">
        <v>9860</v>
      </c>
      <c r="W19" s="11" t="s">
        <v>9885</v>
      </c>
    </row>
    <row r="20" spans="2:23" x14ac:dyDescent="0.2">
      <c r="B20" t="s">
        <v>9695</v>
      </c>
      <c r="D20" s="8" t="s">
        <v>3961</v>
      </c>
      <c r="E20" s="8" t="s">
        <v>9696</v>
      </c>
      <c r="F20">
        <v>29966</v>
      </c>
      <c r="G20" t="s">
        <v>9761</v>
      </c>
      <c r="H20" s="8" t="s">
        <v>9837</v>
      </c>
      <c r="I20" t="s">
        <v>9764</v>
      </c>
      <c r="J20" t="s">
        <v>9784</v>
      </c>
      <c r="K20" s="12">
        <v>19.600000000000001</v>
      </c>
      <c r="L20" s="12">
        <v>11.2</v>
      </c>
      <c r="M20" s="12">
        <v>5.2</v>
      </c>
      <c r="N20" s="12">
        <v>5.8</v>
      </c>
      <c r="O20" s="12">
        <v>12.3</v>
      </c>
      <c r="P20" s="12">
        <v>25.4</v>
      </c>
      <c r="Q20" s="12">
        <v>91</v>
      </c>
      <c r="R20" s="12">
        <v>79</v>
      </c>
      <c r="S20" s="12">
        <f t="shared" si="0"/>
        <v>12</v>
      </c>
      <c r="T20" s="12">
        <v>86</v>
      </c>
      <c r="V20" s="8" t="s">
        <v>9861</v>
      </c>
      <c r="W20" s="11" t="s">
        <v>9885</v>
      </c>
    </row>
    <row r="21" spans="2:23" x14ac:dyDescent="0.2">
      <c r="B21" t="s">
        <v>9695</v>
      </c>
      <c r="D21" s="8" t="s">
        <v>9699</v>
      </c>
      <c r="E21" s="8" t="s">
        <v>9696</v>
      </c>
      <c r="F21">
        <v>21398</v>
      </c>
      <c r="G21" t="s">
        <v>9720</v>
      </c>
      <c r="H21" s="8" t="s">
        <v>9795</v>
      </c>
      <c r="I21" t="s">
        <v>9768</v>
      </c>
      <c r="J21" t="s">
        <v>9783</v>
      </c>
      <c r="K21" s="12">
        <v>28.4</v>
      </c>
      <c r="L21" s="12">
        <v>15.4</v>
      </c>
      <c r="M21" s="12">
        <v>5.9</v>
      </c>
      <c r="N21" s="12">
        <v>6.4</v>
      </c>
      <c r="O21" s="12">
        <v>13.6</v>
      </c>
      <c r="P21" s="12">
        <v>24.6</v>
      </c>
      <c r="Q21" s="12">
        <v>119</v>
      </c>
      <c r="R21" s="12">
        <v>96</v>
      </c>
      <c r="S21" s="12">
        <f t="shared" si="0"/>
        <v>23</v>
      </c>
      <c r="T21" s="12">
        <v>110</v>
      </c>
      <c r="W21" s="11" t="s">
        <v>9885</v>
      </c>
    </row>
    <row r="22" spans="2:23" x14ac:dyDescent="0.2">
      <c r="B22" t="s">
        <v>9695</v>
      </c>
      <c r="D22" s="8" t="s">
        <v>9699</v>
      </c>
      <c r="E22" s="8" t="s">
        <v>9696</v>
      </c>
      <c r="F22">
        <v>21397</v>
      </c>
      <c r="G22" t="s">
        <v>9721</v>
      </c>
      <c r="H22" s="8" t="s">
        <v>9796</v>
      </c>
      <c r="I22" t="s">
        <v>9768</v>
      </c>
      <c r="J22" t="s">
        <v>9783</v>
      </c>
      <c r="K22" s="12">
        <v>28.7</v>
      </c>
      <c r="L22" s="12">
        <v>15.9</v>
      </c>
      <c r="M22" s="12">
        <v>6</v>
      </c>
      <c r="N22" s="12">
        <v>6.2</v>
      </c>
      <c r="O22" s="12">
        <v>14.8</v>
      </c>
      <c r="P22" s="12">
        <v>24.5</v>
      </c>
      <c r="Q22" s="12" t="s">
        <v>9693</v>
      </c>
      <c r="R22" s="12" t="s">
        <v>9693</v>
      </c>
      <c r="S22" s="12" t="s">
        <v>9693</v>
      </c>
      <c r="T22" s="12" t="s">
        <v>9693</v>
      </c>
      <c r="V22" t="s">
        <v>9848</v>
      </c>
      <c r="W22" s="11" t="s">
        <v>9885</v>
      </c>
    </row>
    <row r="23" spans="2:23" x14ac:dyDescent="0.2">
      <c r="B23" t="s">
        <v>9695</v>
      </c>
      <c r="D23" s="8" t="s">
        <v>9699</v>
      </c>
      <c r="E23" s="8" t="s">
        <v>9696</v>
      </c>
      <c r="F23">
        <v>13354</v>
      </c>
      <c r="G23" t="s">
        <v>9722</v>
      </c>
      <c r="H23" s="8" t="s">
        <v>9797</v>
      </c>
      <c r="I23" t="s">
        <v>9768</v>
      </c>
      <c r="J23" t="s">
        <v>9783</v>
      </c>
      <c r="K23" s="12" t="s">
        <v>9693</v>
      </c>
      <c r="L23" s="12" t="s">
        <v>9693</v>
      </c>
      <c r="M23" s="12">
        <v>5.8</v>
      </c>
      <c r="N23" s="12">
        <v>6</v>
      </c>
      <c r="O23" s="12">
        <v>13.4</v>
      </c>
      <c r="P23" s="12">
        <v>20.8</v>
      </c>
      <c r="Q23" s="12">
        <v>124</v>
      </c>
      <c r="R23" s="12">
        <v>94</v>
      </c>
      <c r="S23" s="12">
        <f t="shared" si="0"/>
        <v>30</v>
      </c>
      <c r="T23" s="12">
        <v>109</v>
      </c>
      <c r="V23" t="s">
        <v>9849</v>
      </c>
      <c r="W23" s="11" t="s">
        <v>9885</v>
      </c>
    </row>
    <row r="24" spans="2:23" x14ac:dyDescent="0.2">
      <c r="B24" t="s">
        <v>9695</v>
      </c>
      <c r="D24" s="8" t="s">
        <v>9699</v>
      </c>
      <c r="E24" s="8" t="s">
        <v>9696</v>
      </c>
      <c r="F24">
        <v>25378</v>
      </c>
      <c r="G24" t="s">
        <v>9723</v>
      </c>
      <c r="H24" s="8" t="s">
        <v>9798</v>
      </c>
      <c r="I24" t="s">
        <v>9769</v>
      </c>
      <c r="J24" t="s">
        <v>9783</v>
      </c>
      <c r="K24" s="12">
        <v>29.5</v>
      </c>
      <c r="L24" s="12">
        <v>16.399999999999999</v>
      </c>
      <c r="M24" s="12">
        <v>5.7</v>
      </c>
      <c r="N24" s="12">
        <v>6.9</v>
      </c>
      <c r="O24" s="12">
        <v>14.2</v>
      </c>
      <c r="P24" s="12">
        <v>23.9</v>
      </c>
      <c r="Q24" s="12">
        <v>136</v>
      </c>
      <c r="R24" s="12">
        <v>109</v>
      </c>
      <c r="S24" s="12">
        <f t="shared" si="0"/>
        <v>27</v>
      </c>
      <c r="T24" s="12">
        <v>127</v>
      </c>
      <c r="W24" s="11" t="s">
        <v>9885</v>
      </c>
    </row>
    <row r="25" spans="2:23" x14ac:dyDescent="0.2">
      <c r="B25" t="s">
        <v>9695</v>
      </c>
      <c r="D25" s="8" t="s">
        <v>9702</v>
      </c>
      <c r="E25" s="8" t="s">
        <v>9696</v>
      </c>
      <c r="F25">
        <v>13363</v>
      </c>
      <c r="G25" t="s">
        <v>9745</v>
      </c>
      <c r="H25" s="8" t="s">
        <v>9823</v>
      </c>
      <c r="I25" t="s">
        <v>9772</v>
      </c>
      <c r="J25"/>
      <c r="K25" s="12">
        <v>21.2</v>
      </c>
      <c r="L25" s="12">
        <v>12.7</v>
      </c>
      <c r="M25" s="12">
        <v>4.8</v>
      </c>
      <c r="N25" s="12">
        <v>5</v>
      </c>
      <c r="O25" s="12">
        <v>8.8000000000000007</v>
      </c>
      <c r="P25" s="12">
        <v>19.8</v>
      </c>
      <c r="Q25" s="12">
        <v>87</v>
      </c>
      <c r="R25" s="12">
        <v>73</v>
      </c>
      <c r="S25" s="12">
        <f t="shared" si="0"/>
        <v>14</v>
      </c>
      <c r="T25" s="12">
        <v>77</v>
      </c>
      <c r="W25" s="11" t="s">
        <v>9885</v>
      </c>
    </row>
    <row r="26" spans="2:23" x14ac:dyDescent="0.2">
      <c r="B26" t="s">
        <v>9695</v>
      </c>
      <c r="D26" s="8" t="s">
        <v>4082</v>
      </c>
      <c r="E26" s="8" t="s">
        <v>9696</v>
      </c>
      <c r="F26">
        <v>13356</v>
      </c>
      <c r="G26" t="s">
        <v>9748</v>
      </c>
      <c r="H26" s="8" t="s">
        <v>9826</v>
      </c>
      <c r="I26" t="s">
        <v>9777</v>
      </c>
      <c r="J26" t="s">
        <v>9783</v>
      </c>
      <c r="K26" s="12">
        <v>24.1</v>
      </c>
      <c r="L26" s="12">
        <v>13.1</v>
      </c>
      <c r="M26" s="12">
        <v>5.7</v>
      </c>
      <c r="N26" s="12">
        <v>4.9000000000000004</v>
      </c>
      <c r="O26" s="12">
        <v>13.1</v>
      </c>
      <c r="P26" s="12">
        <v>20.7</v>
      </c>
      <c r="Q26" s="12">
        <v>110</v>
      </c>
      <c r="R26" s="12">
        <v>84</v>
      </c>
      <c r="S26" s="12">
        <f t="shared" si="0"/>
        <v>26</v>
      </c>
      <c r="T26" s="12">
        <v>90</v>
      </c>
      <c r="W26" s="11" t="s">
        <v>9885</v>
      </c>
    </row>
    <row r="27" spans="2:23" x14ac:dyDescent="0.2">
      <c r="B27" t="s">
        <v>9695</v>
      </c>
      <c r="D27" s="8" t="s">
        <v>4082</v>
      </c>
      <c r="E27" s="8" t="s">
        <v>9696</v>
      </c>
      <c r="F27">
        <v>13358</v>
      </c>
      <c r="G27" t="s">
        <v>9693</v>
      </c>
      <c r="H27" s="8" t="s">
        <v>9827</v>
      </c>
      <c r="I27" t="s">
        <v>9772</v>
      </c>
      <c r="J27"/>
      <c r="K27" s="12">
        <v>29.7</v>
      </c>
      <c r="L27" s="12">
        <v>18.5</v>
      </c>
      <c r="M27" s="12">
        <v>6.4</v>
      </c>
      <c r="N27" s="12">
        <v>6.8</v>
      </c>
      <c r="O27" s="12">
        <v>12.2</v>
      </c>
      <c r="P27" s="12">
        <v>20.5</v>
      </c>
      <c r="Q27" s="12">
        <v>125</v>
      </c>
      <c r="R27" s="12">
        <v>95</v>
      </c>
      <c r="S27" s="12">
        <f t="shared" si="0"/>
        <v>30</v>
      </c>
      <c r="T27" s="12">
        <v>97</v>
      </c>
      <c r="U27" s="8" t="s">
        <v>9850</v>
      </c>
      <c r="W27" s="11" t="s">
        <v>9885</v>
      </c>
    </row>
    <row r="28" spans="2:23" x14ac:dyDescent="0.2">
      <c r="B28" t="s">
        <v>9695</v>
      </c>
      <c r="D28" s="8" t="s">
        <v>4076</v>
      </c>
      <c r="E28" s="8" t="s">
        <v>9696</v>
      </c>
      <c r="F28">
        <v>13360</v>
      </c>
      <c r="G28" t="s">
        <v>9693</v>
      </c>
      <c r="H28" s="8" t="s">
        <v>9791</v>
      </c>
      <c r="I28" t="s">
        <v>9778</v>
      </c>
      <c r="J28"/>
      <c r="K28" s="12">
        <v>22.7</v>
      </c>
      <c r="L28" s="12">
        <v>13.6</v>
      </c>
      <c r="M28" s="12">
        <v>5.0999999999999996</v>
      </c>
      <c r="N28" s="12">
        <v>5.4</v>
      </c>
      <c r="O28" s="12">
        <v>12.7</v>
      </c>
      <c r="P28" s="12">
        <v>20.7</v>
      </c>
      <c r="Q28" s="12">
        <v>101</v>
      </c>
      <c r="R28" s="12">
        <v>80</v>
      </c>
      <c r="S28" s="12">
        <f t="shared" si="0"/>
        <v>21</v>
      </c>
      <c r="T28" s="12">
        <v>93</v>
      </c>
      <c r="V28" s="8" t="s">
        <v>9852</v>
      </c>
      <c r="W28" s="11" t="s">
        <v>9885</v>
      </c>
    </row>
    <row r="29" spans="2:23" x14ac:dyDescent="0.2">
      <c r="B29" t="s">
        <v>9695</v>
      </c>
      <c r="D29" s="8" t="s">
        <v>4082</v>
      </c>
      <c r="E29" s="8" t="s">
        <v>9696</v>
      </c>
      <c r="F29">
        <v>13357</v>
      </c>
      <c r="G29" t="s">
        <v>9693</v>
      </c>
      <c r="H29" s="8" t="s">
        <v>9828</v>
      </c>
      <c r="I29" t="s">
        <v>9772</v>
      </c>
      <c r="J29"/>
      <c r="K29" s="12">
        <v>27.8</v>
      </c>
      <c r="L29" s="12">
        <v>16.899999999999999</v>
      </c>
      <c r="M29" s="12">
        <v>5.9</v>
      </c>
      <c r="N29" s="12">
        <v>6.4</v>
      </c>
      <c r="O29" s="12">
        <v>12.5</v>
      </c>
      <c r="P29" s="12">
        <v>20.6</v>
      </c>
      <c r="Q29" s="12">
        <v>122</v>
      </c>
      <c r="R29" s="12" t="s">
        <v>9693</v>
      </c>
      <c r="S29" s="12" t="s">
        <v>9693</v>
      </c>
      <c r="T29" s="12">
        <v>100</v>
      </c>
      <c r="U29" s="8" t="s">
        <v>9850</v>
      </c>
      <c r="V29" s="8" t="s">
        <v>9851</v>
      </c>
      <c r="W29" s="11" t="s">
        <v>9885</v>
      </c>
    </row>
    <row r="30" spans="2:23" x14ac:dyDescent="0.2">
      <c r="B30" t="s">
        <v>9695</v>
      </c>
      <c r="D30" s="8" t="s">
        <v>4080</v>
      </c>
      <c r="E30" s="8" t="s">
        <v>9696</v>
      </c>
      <c r="F30">
        <v>13355</v>
      </c>
      <c r="G30" t="s">
        <v>9749</v>
      </c>
      <c r="H30" s="8" t="s">
        <v>9829</v>
      </c>
      <c r="I30" t="s">
        <v>9777</v>
      </c>
      <c r="J30" t="s">
        <v>9784</v>
      </c>
      <c r="K30" s="12">
        <v>25.2</v>
      </c>
      <c r="L30" s="12">
        <v>15.7</v>
      </c>
      <c r="M30" s="12">
        <v>5.6</v>
      </c>
      <c r="N30" s="12">
        <v>5.8</v>
      </c>
      <c r="O30" s="12">
        <v>10.199999999999999</v>
      </c>
      <c r="P30" s="12">
        <v>20.6</v>
      </c>
      <c r="Q30" s="12">
        <v>115</v>
      </c>
      <c r="R30" s="12">
        <v>86</v>
      </c>
      <c r="S30" s="12">
        <f t="shared" si="0"/>
        <v>29</v>
      </c>
      <c r="T30" s="12">
        <v>90</v>
      </c>
      <c r="W30" s="11" t="s">
        <v>9885</v>
      </c>
    </row>
    <row r="31" spans="2:23" x14ac:dyDescent="0.2">
      <c r="B31" t="s">
        <v>9695</v>
      </c>
      <c r="D31" s="8" t="s">
        <v>9697</v>
      </c>
      <c r="E31" s="8" t="s">
        <v>9696</v>
      </c>
      <c r="F31">
        <v>13369</v>
      </c>
      <c r="G31" s="13">
        <v>45666</v>
      </c>
      <c r="H31" s="8" t="s">
        <v>9789</v>
      </c>
      <c r="I31" t="s">
        <v>9767</v>
      </c>
      <c r="J31" t="s">
        <v>9783</v>
      </c>
      <c r="K31" s="12">
        <v>18.8</v>
      </c>
      <c r="L31" s="12">
        <v>11.3</v>
      </c>
      <c r="M31" s="12">
        <v>4.9000000000000004</v>
      </c>
      <c r="N31" s="12">
        <v>4.8</v>
      </c>
      <c r="O31" s="12">
        <v>10.5</v>
      </c>
      <c r="P31" s="12">
        <v>18.7</v>
      </c>
      <c r="Q31" s="12">
        <v>82</v>
      </c>
      <c r="R31" s="12">
        <v>70</v>
      </c>
      <c r="S31" s="12">
        <f t="shared" si="0"/>
        <v>12</v>
      </c>
      <c r="T31" s="12">
        <v>72</v>
      </c>
      <c r="W31" s="11" t="s">
        <v>9885</v>
      </c>
    </row>
    <row r="32" spans="2:23" x14ac:dyDescent="0.2">
      <c r="B32" t="s">
        <v>9695</v>
      </c>
      <c r="D32" s="8" t="s">
        <v>9698</v>
      </c>
      <c r="E32" s="8" t="s">
        <v>9696</v>
      </c>
      <c r="F32">
        <v>13362</v>
      </c>
      <c r="G32" t="s">
        <v>9710</v>
      </c>
      <c r="H32" s="8" t="s">
        <v>9790</v>
      </c>
      <c r="I32" t="s">
        <v>9767</v>
      </c>
      <c r="J32" t="s">
        <v>9783</v>
      </c>
      <c r="K32" s="12">
        <v>27</v>
      </c>
      <c r="L32" s="12">
        <v>16.2</v>
      </c>
      <c r="M32" s="12">
        <v>5.3</v>
      </c>
      <c r="N32" s="12">
        <v>7</v>
      </c>
      <c r="O32" s="12">
        <v>11.9</v>
      </c>
      <c r="P32" s="12">
        <v>20.8</v>
      </c>
      <c r="Q32" s="12">
        <v>112</v>
      </c>
      <c r="R32" s="12">
        <v>95</v>
      </c>
      <c r="S32" s="12">
        <f t="shared" si="0"/>
        <v>17</v>
      </c>
      <c r="T32" s="12">
        <v>100</v>
      </c>
      <c r="W32" s="11" t="s">
        <v>9885</v>
      </c>
    </row>
    <row r="33" spans="2:23" x14ac:dyDescent="0.2">
      <c r="B33" t="s">
        <v>9695</v>
      </c>
      <c r="D33" s="8" t="s">
        <v>9698</v>
      </c>
      <c r="E33" s="8" t="s">
        <v>9696</v>
      </c>
      <c r="F33">
        <v>25332</v>
      </c>
      <c r="G33" s="13">
        <v>20188</v>
      </c>
      <c r="H33" s="8" t="s">
        <v>9791</v>
      </c>
      <c r="I33" t="s">
        <v>9767</v>
      </c>
      <c r="J33" t="s">
        <v>9783</v>
      </c>
      <c r="K33" s="12">
        <v>23.8</v>
      </c>
      <c r="L33" s="12">
        <v>14.4</v>
      </c>
      <c r="M33" s="12">
        <v>5</v>
      </c>
      <c r="N33" s="12">
        <v>5.8</v>
      </c>
      <c r="O33" s="12">
        <v>12.9</v>
      </c>
      <c r="P33" s="12">
        <v>19</v>
      </c>
      <c r="Q33" s="12">
        <v>97</v>
      </c>
      <c r="R33" s="12">
        <v>79</v>
      </c>
      <c r="S33" s="12">
        <f t="shared" si="0"/>
        <v>18</v>
      </c>
      <c r="T33" s="12">
        <v>85</v>
      </c>
      <c r="W33" s="11" t="s">
        <v>9885</v>
      </c>
    </row>
    <row r="34" spans="2:23" x14ac:dyDescent="0.2">
      <c r="B34" t="s">
        <v>9695</v>
      </c>
      <c r="D34" s="8" t="s">
        <v>3951</v>
      </c>
      <c r="E34" s="8" t="s">
        <v>9696</v>
      </c>
      <c r="F34">
        <v>33737</v>
      </c>
      <c r="G34" s="13">
        <v>24634</v>
      </c>
      <c r="H34" s="8" t="s">
        <v>9794</v>
      </c>
      <c r="I34" t="s">
        <v>9766</v>
      </c>
      <c r="J34" t="s">
        <v>9783</v>
      </c>
      <c r="K34" s="12">
        <v>16.3</v>
      </c>
      <c r="L34" s="12">
        <v>10.1</v>
      </c>
      <c r="M34" s="12">
        <v>4.3</v>
      </c>
      <c r="N34" s="12">
        <v>5.6</v>
      </c>
      <c r="O34" s="12">
        <v>8.9</v>
      </c>
      <c r="P34" s="12">
        <v>20.7</v>
      </c>
      <c r="Q34" s="12">
        <v>92</v>
      </c>
      <c r="R34" s="12">
        <v>72</v>
      </c>
      <c r="S34" s="12">
        <f t="shared" si="0"/>
        <v>20</v>
      </c>
      <c r="T34" s="12" t="s">
        <v>9693</v>
      </c>
      <c r="V34" s="8" t="s">
        <v>9855</v>
      </c>
      <c r="W34" s="11" t="s">
        <v>9885</v>
      </c>
    </row>
    <row r="35" spans="2:23" x14ac:dyDescent="0.2">
      <c r="B35" t="s">
        <v>9695</v>
      </c>
      <c r="D35" s="8" t="s">
        <v>3951</v>
      </c>
      <c r="E35" s="8" t="s">
        <v>9696</v>
      </c>
      <c r="F35">
        <v>33736</v>
      </c>
      <c r="G35" s="13">
        <v>24634</v>
      </c>
      <c r="H35" s="8" t="s">
        <v>9794</v>
      </c>
      <c r="I35" t="s">
        <v>9766</v>
      </c>
      <c r="J35" t="s">
        <v>9783</v>
      </c>
      <c r="K35" s="12">
        <v>16.399999999999999</v>
      </c>
      <c r="L35" s="12">
        <v>10.199999999999999</v>
      </c>
      <c r="M35" s="12">
        <v>4.5</v>
      </c>
      <c r="N35" s="12">
        <v>4.8</v>
      </c>
      <c r="O35" s="12">
        <v>10</v>
      </c>
      <c r="P35" s="12">
        <v>19.8</v>
      </c>
      <c r="Q35" s="12">
        <v>89</v>
      </c>
      <c r="R35" s="12">
        <v>70</v>
      </c>
      <c r="S35" s="12">
        <f t="shared" si="0"/>
        <v>19</v>
      </c>
      <c r="T35" s="12">
        <v>77</v>
      </c>
      <c r="W35" s="11" t="s">
        <v>9885</v>
      </c>
    </row>
    <row r="36" spans="2:23" x14ac:dyDescent="0.2">
      <c r="B36" t="s">
        <v>9695</v>
      </c>
      <c r="D36" s="8" t="s">
        <v>3951</v>
      </c>
      <c r="E36" s="8" t="s">
        <v>9696</v>
      </c>
      <c r="F36">
        <v>13383</v>
      </c>
      <c r="G36" t="s">
        <v>9739</v>
      </c>
      <c r="H36" s="8" t="s">
        <v>9810</v>
      </c>
      <c r="I36" t="s">
        <v>9776</v>
      </c>
      <c r="J36" t="s">
        <v>9784</v>
      </c>
      <c r="K36" s="12">
        <v>16.2</v>
      </c>
      <c r="L36" s="12">
        <v>9.5</v>
      </c>
      <c r="M36" s="12">
        <v>4.5</v>
      </c>
      <c r="N36" s="12">
        <v>4.4000000000000004</v>
      </c>
      <c r="O36" s="12">
        <v>8.6999999999999993</v>
      </c>
      <c r="P36" s="12">
        <v>20.3</v>
      </c>
      <c r="Q36" s="12">
        <v>81</v>
      </c>
      <c r="R36" s="12">
        <v>63</v>
      </c>
      <c r="S36" s="12">
        <f t="shared" si="0"/>
        <v>18</v>
      </c>
      <c r="T36" s="12">
        <v>72</v>
      </c>
      <c r="V36" s="8" t="s">
        <v>9864</v>
      </c>
      <c r="W36" s="11" t="s">
        <v>9885</v>
      </c>
    </row>
    <row r="37" spans="2:23" x14ac:dyDescent="0.2">
      <c r="B37" t="s">
        <v>9695</v>
      </c>
      <c r="D37" s="8" t="s">
        <v>3998</v>
      </c>
      <c r="E37" s="8" t="s">
        <v>9696</v>
      </c>
      <c r="F37">
        <v>29825</v>
      </c>
      <c r="G37" s="13">
        <v>22556</v>
      </c>
      <c r="H37" s="8" t="s">
        <v>9785</v>
      </c>
      <c r="I37" t="s">
        <v>9764</v>
      </c>
      <c r="J37" t="s">
        <v>9783</v>
      </c>
      <c r="K37" s="12">
        <v>21.2</v>
      </c>
      <c r="L37" s="12">
        <v>13.3</v>
      </c>
      <c r="M37" s="12">
        <v>4.5</v>
      </c>
      <c r="N37" s="12">
        <v>4.9000000000000004</v>
      </c>
      <c r="O37" s="12">
        <v>11.6</v>
      </c>
      <c r="P37" s="12">
        <v>22</v>
      </c>
      <c r="Q37" s="12">
        <v>83</v>
      </c>
      <c r="R37" s="12">
        <v>73</v>
      </c>
      <c r="S37" s="12">
        <f t="shared" si="0"/>
        <v>10</v>
      </c>
      <c r="T37" s="12">
        <v>80</v>
      </c>
      <c r="W37" s="11" t="s">
        <v>9885</v>
      </c>
    </row>
    <row r="38" spans="2:23" x14ac:dyDescent="0.2">
      <c r="B38" t="s">
        <v>9695</v>
      </c>
      <c r="D38" s="8" t="s">
        <v>3998</v>
      </c>
      <c r="E38" s="8" t="s">
        <v>9696</v>
      </c>
      <c r="F38">
        <v>29826</v>
      </c>
      <c r="G38" t="s">
        <v>9711</v>
      </c>
      <c r="H38" s="8" t="s">
        <v>9785</v>
      </c>
      <c r="I38" t="s">
        <v>9764</v>
      </c>
      <c r="J38" t="s">
        <v>9784</v>
      </c>
      <c r="K38" s="12">
        <v>18.3</v>
      </c>
      <c r="L38" s="12">
        <v>10.9</v>
      </c>
      <c r="M38" s="12">
        <v>4.7</v>
      </c>
      <c r="N38" s="12">
        <v>4.2</v>
      </c>
      <c r="O38" s="12">
        <v>10.4</v>
      </c>
      <c r="P38" s="12">
        <v>20</v>
      </c>
      <c r="Q38" s="12">
        <v>71</v>
      </c>
      <c r="R38" s="12">
        <v>64</v>
      </c>
      <c r="S38" s="12">
        <f t="shared" si="0"/>
        <v>7</v>
      </c>
      <c r="T38" s="12">
        <v>66</v>
      </c>
      <c r="W38" s="11" t="s">
        <v>9885</v>
      </c>
    </row>
    <row r="39" spans="2:23" x14ac:dyDescent="0.2">
      <c r="B39" t="s">
        <v>9695</v>
      </c>
      <c r="D39" s="8" t="s">
        <v>3998</v>
      </c>
      <c r="E39" s="8" t="s">
        <v>9696</v>
      </c>
      <c r="F39">
        <v>29827</v>
      </c>
      <c r="G39" s="13">
        <v>22620</v>
      </c>
      <c r="H39" s="8" t="s">
        <v>9785</v>
      </c>
      <c r="I39" t="s">
        <v>9764</v>
      </c>
      <c r="J39" t="s">
        <v>9784</v>
      </c>
      <c r="K39" s="12">
        <v>18.5</v>
      </c>
      <c r="L39" s="12">
        <v>11.1</v>
      </c>
      <c r="M39" s="12">
        <v>4.5</v>
      </c>
      <c r="N39" s="12">
        <v>5</v>
      </c>
      <c r="O39" s="12">
        <v>10.4</v>
      </c>
      <c r="P39" s="12">
        <v>20.7</v>
      </c>
      <c r="Q39" s="12">
        <v>69</v>
      </c>
      <c r="R39" s="12">
        <v>60</v>
      </c>
      <c r="S39" s="12">
        <f t="shared" si="0"/>
        <v>9</v>
      </c>
      <c r="T39" s="12">
        <v>66</v>
      </c>
      <c r="W39" s="11" t="s">
        <v>9885</v>
      </c>
    </row>
    <row r="40" spans="2:23" x14ac:dyDescent="0.2">
      <c r="B40" t="s">
        <v>9695</v>
      </c>
      <c r="D40" s="8" t="s">
        <v>3998</v>
      </c>
      <c r="E40" s="8" t="s">
        <v>9696</v>
      </c>
      <c r="F40">
        <v>29901</v>
      </c>
      <c r="G40" t="s">
        <v>9712</v>
      </c>
      <c r="H40" s="8" t="s">
        <v>9792</v>
      </c>
      <c r="I40" t="s">
        <v>9764</v>
      </c>
      <c r="J40" t="s">
        <v>9783</v>
      </c>
      <c r="K40" s="12">
        <v>22.8</v>
      </c>
      <c r="L40" s="12">
        <v>14.4</v>
      </c>
      <c r="M40" s="12">
        <v>4.9000000000000004</v>
      </c>
      <c r="N40" s="12">
        <v>5.2</v>
      </c>
      <c r="O40" s="12">
        <v>10.8</v>
      </c>
      <c r="P40" s="12">
        <v>22.3</v>
      </c>
      <c r="Q40" s="12">
        <v>81</v>
      </c>
      <c r="R40" s="12">
        <v>73</v>
      </c>
      <c r="S40" s="12">
        <f t="shared" si="0"/>
        <v>8</v>
      </c>
      <c r="T40" s="12">
        <v>77</v>
      </c>
      <c r="W40" s="11" t="s">
        <v>9885</v>
      </c>
    </row>
    <row r="41" spans="2:23" x14ac:dyDescent="0.2">
      <c r="B41" t="s">
        <v>9695</v>
      </c>
      <c r="D41" s="8" t="s">
        <v>3998</v>
      </c>
      <c r="E41" s="8" t="s">
        <v>9696</v>
      </c>
      <c r="F41">
        <v>29957</v>
      </c>
      <c r="G41" t="s">
        <v>9713</v>
      </c>
      <c r="H41" s="8" t="s">
        <v>9793</v>
      </c>
      <c r="I41" t="s">
        <v>9764</v>
      </c>
      <c r="J41" t="s">
        <v>9783</v>
      </c>
      <c r="K41" s="12">
        <v>22.7</v>
      </c>
      <c r="L41" s="12">
        <v>13.6</v>
      </c>
      <c r="M41" s="12">
        <v>4.7</v>
      </c>
      <c r="N41" s="12">
        <v>5.0999999999999996</v>
      </c>
      <c r="O41" s="12">
        <v>10.9</v>
      </c>
      <c r="P41" s="12">
        <v>21.2</v>
      </c>
      <c r="Q41" s="12">
        <v>84</v>
      </c>
      <c r="R41" s="12">
        <v>72</v>
      </c>
      <c r="S41" s="12">
        <f t="shared" si="0"/>
        <v>12</v>
      </c>
      <c r="T41" s="12">
        <v>78</v>
      </c>
      <c r="W41" s="11" t="s">
        <v>9885</v>
      </c>
    </row>
    <row r="42" spans="2:23" x14ac:dyDescent="0.2">
      <c r="B42" t="s">
        <v>9695</v>
      </c>
      <c r="D42" s="8" t="s">
        <v>3998</v>
      </c>
      <c r="E42" s="8" t="s">
        <v>9696</v>
      </c>
      <c r="F42">
        <v>33730</v>
      </c>
      <c r="G42" s="13">
        <v>24756</v>
      </c>
      <c r="H42" s="8" t="s">
        <v>9794</v>
      </c>
      <c r="I42" t="s">
        <v>9766</v>
      </c>
      <c r="J42" t="s">
        <v>9784</v>
      </c>
      <c r="K42" s="12">
        <v>18.2</v>
      </c>
      <c r="L42" s="12">
        <v>10.6</v>
      </c>
      <c r="M42" s="12">
        <v>4.4000000000000004</v>
      </c>
      <c r="N42" s="12">
        <v>4.5999999999999996</v>
      </c>
      <c r="O42" s="12">
        <v>9.6</v>
      </c>
      <c r="P42" s="12">
        <v>18.899999999999999</v>
      </c>
      <c r="Q42" s="12">
        <v>69</v>
      </c>
      <c r="R42" s="12">
        <v>62</v>
      </c>
      <c r="S42" s="12">
        <f t="shared" si="0"/>
        <v>7</v>
      </c>
      <c r="T42" s="12">
        <v>68</v>
      </c>
      <c r="W42" s="11" t="s">
        <v>9885</v>
      </c>
    </row>
    <row r="43" spans="2:23" x14ac:dyDescent="0.2">
      <c r="B43" t="s">
        <v>9695</v>
      </c>
      <c r="D43" s="8" t="s">
        <v>3998</v>
      </c>
      <c r="E43" s="8" t="s">
        <v>9696</v>
      </c>
      <c r="F43">
        <v>33731</v>
      </c>
      <c r="G43" s="13">
        <v>24756</v>
      </c>
      <c r="H43" s="8" t="s">
        <v>9794</v>
      </c>
      <c r="I43" t="s">
        <v>9766</v>
      </c>
      <c r="J43" t="s">
        <v>9783</v>
      </c>
      <c r="K43" s="12">
        <v>22.3</v>
      </c>
      <c r="L43" s="12">
        <v>12.2</v>
      </c>
      <c r="M43" s="12">
        <v>4.5</v>
      </c>
      <c r="N43" s="12">
        <v>5.0999999999999996</v>
      </c>
      <c r="O43" s="12">
        <v>11.4</v>
      </c>
      <c r="P43" s="12">
        <v>22.2</v>
      </c>
      <c r="Q43" s="12">
        <v>84</v>
      </c>
      <c r="R43" s="12">
        <v>77</v>
      </c>
      <c r="S43" s="12">
        <f t="shared" si="0"/>
        <v>7</v>
      </c>
      <c r="T43" s="12">
        <v>79</v>
      </c>
      <c r="W43" s="11" t="s">
        <v>9885</v>
      </c>
    </row>
    <row r="44" spans="2:23" x14ac:dyDescent="0.2">
      <c r="B44" t="s">
        <v>9695</v>
      </c>
      <c r="D44" s="8" t="s">
        <v>3998</v>
      </c>
      <c r="E44" s="8" t="s">
        <v>9696</v>
      </c>
      <c r="F44">
        <v>29821</v>
      </c>
      <c r="G44" s="13">
        <v>22231</v>
      </c>
      <c r="H44" s="8" t="s">
        <v>9785</v>
      </c>
      <c r="I44" t="s">
        <v>9764</v>
      </c>
      <c r="J44" t="s">
        <v>9783</v>
      </c>
      <c r="K44" s="12">
        <v>20.5</v>
      </c>
      <c r="L44" s="12">
        <v>12.5</v>
      </c>
      <c r="M44" s="12">
        <v>4.7</v>
      </c>
      <c r="N44" s="12">
        <v>5.0999999999999996</v>
      </c>
      <c r="O44" s="12">
        <v>11</v>
      </c>
      <c r="P44" s="12">
        <v>21.3</v>
      </c>
      <c r="Q44" s="12">
        <v>84</v>
      </c>
      <c r="R44" s="12">
        <v>75</v>
      </c>
      <c r="S44" s="12">
        <f t="shared" si="0"/>
        <v>9</v>
      </c>
      <c r="T44" s="12">
        <v>82</v>
      </c>
      <c r="W44" s="11" t="s">
        <v>9885</v>
      </c>
    </row>
    <row r="45" spans="2:23" x14ac:dyDescent="0.2">
      <c r="B45" t="s">
        <v>9695</v>
      </c>
      <c r="D45" s="8" t="s">
        <v>3998</v>
      </c>
      <c r="E45" s="8" t="s">
        <v>9696</v>
      </c>
      <c r="F45">
        <v>29828</v>
      </c>
      <c r="G45" t="s">
        <v>9714</v>
      </c>
      <c r="H45" s="8" t="s">
        <v>9785</v>
      </c>
      <c r="I45" t="s">
        <v>9764</v>
      </c>
      <c r="J45" t="s">
        <v>9783</v>
      </c>
      <c r="K45" s="12">
        <v>20.2</v>
      </c>
      <c r="L45" s="12">
        <v>12.7</v>
      </c>
      <c r="M45" s="12">
        <v>4.5</v>
      </c>
      <c r="N45" s="12">
        <v>5.0999999999999996</v>
      </c>
      <c r="O45" s="12">
        <v>10.7</v>
      </c>
      <c r="P45" s="12">
        <v>21.6</v>
      </c>
      <c r="Q45" s="12">
        <v>81</v>
      </c>
      <c r="R45" s="12">
        <v>70</v>
      </c>
      <c r="S45" s="12">
        <f t="shared" si="0"/>
        <v>11</v>
      </c>
      <c r="T45" s="12">
        <v>75</v>
      </c>
      <c r="W45" s="11" t="s">
        <v>9885</v>
      </c>
    </row>
    <row r="46" spans="2:23" x14ac:dyDescent="0.2">
      <c r="B46" t="s">
        <v>9695</v>
      </c>
      <c r="D46" s="8" t="s">
        <v>3998</v>
      </c>
      <c r="E46" s="8" t="s">
        <v>9696</v>
      </c>
      <c r="F46">
        <v>29819</v>
      </c>
      <c r="G46" t="s">
        <v>9715</v>
      </c>
      <c r="H46" s="8" t="s">
        <v>9785</v>
      </c>
      <c r="I46" t="s">
        <v>9764</v>
      </c>
      <c r="J46" t="s">
        <v>9783</v>
      </c>
      <c r="K46" s="12">
        <v>22.5</v>
      </c>
      <c r="L46" s="12">
        <v>14.2</v>
      </c>
      <c r="M46" s="12">
        <v>4.5</v>
      </c>
      <c r="N46" s="12">
        <v>5.2</v>
      </c>
      <c r="O46" s="12">
        <v>10.199999999999999</v>
      </c>
      <c r="P46" s="12">
        <v>22.2</v>
      </c>
      <c r="Q46" s="12">
        <v>80</v>
      </c>
      <c r="R46" s="12">
        <v>70</v>
      </c>
      <c r="S46" s="12">
        <f t="shared" si="0"/>
        <v>10</v>
      </c>
      <c r="T46" s="12">
        <v>73</v>
      </c>
      <c r="W46" s="11" t="s">
        <v>9885</v>
      </c>
    </row>
    <row r="47" spans="2:23" x14ac:dyDescent="0.2">
      <c r="B47" t="s">
        <v>9695</v>
      </c>
      <c r="D47" s="8" t="s">
        <v>3998</v>
      </c>
      <c r="E47" s="8" t="s">
        <v>9696</v>
      </c>
      <c r="F47">
        <v>29823</v>
      </c>
      <c r="G47" t="s">
        <v>9716</v>
      </c>
      <c r="H47" s="8" t="s">
        <v>9785</v>
      </c>
      <c r="I47" t="s">
        <v>9764</v>
      </c>
      <c r="J47" t="s">
        <v>9784</v>
      </c>
      <c r="K47" s="12">
        <v>19.600000000000001</v>
      </c>
      <c r="L47" s="12">
        <v>11.9</v>
      </c>
      <c r="M47" s="12">
        <v>4.5999999999999996</v>
      </c>
      <c r="N47" s="12">
        <v>4.3</v>
      </c>
      <c r="O47" s="12">
        <v>10.5</v>
      </c>
      <c r="P47" s="12">
        <v>20.9</v>
      </c>
      <c r="Q47" s="12">
        <v>69</v>
      </c>
      <c r="R47" s="12">
        <v>62</v>
      </c>
      <c r="S47" s="12">
        <f t="shared" si="0"/>
        <v>7</v>
      </c>
      <c r="T47" s="12">
        <v>69</v>
      </c>
      <c r="W47" s="11" t="s">
        <v>9885</v>
      </c>
    </row>
    <row r="48" spans="2:23" x14ac:dyDescent="0.2">
      <c r="B48" t="s">
        <v>9695</v>
      </c>
      <c r="D48" s="8" t="s">
        <v>3998</v>
      </c>
      <c r="E48" s="8" t="s">
        <v>9696</v>
      </c>
      <c r="F48">
        <v>29900</v>
      </c>
      <c r="G48" t="s">
        <v>9717</v>
      </c>
      <c r="H48" s="8" t="s">
        <v>9792</v>
      </c>
      <c r="I48" t="s">
        <v>9764</v>
      </c>
      <c r="J48" t="s">
        <v>9784</v>
      </c>
      <c r="K48" s="12">
        <v>19.100000000000001</v>
      </c>
      <c r="L48" s="12">
        <v>11.7</v>
      </c>
      <c r="M48" s="12">
        <v>4.5</v>
      </c>
      <c r="N48" s="12">
        <v>4.5</v>
      </c>
      <c r="O48" s="12">
        <v>10.199999999999999</v>
      </c>
      <c r="P48" s="12">
        <v>19.7</v>
      </c>
      <c r="Q48" s="12">
        <v>66</v>
      </c>
      <c r="R48" s="12">
        <v>61</v>
      </c>
      <c r="S48" s="12">
        <f t="shared" si="0"/>
        <v>5</v>
      </c>
      <c r="T48" s="12" t="s">
        <v>9693</v>
      </c>
      <c r="V48" s="8" t="s">
        <v>9845</v>
      </c>
      <c r="W48" s="11" t="s">
        <v>9885</v>
      </c>
    </row>
    <row r="49" spans="2:23" x14ac:dyDescent="0.2">
      <c r="B49" t="s">
        <v>9695</v>
      </c>
      <c r="D49" s="8" t="s">
        <v>3998</v>
      </c>
      <c r="E49" s="8" t="s">
        <v>9696</v>
      </c>
      <c r="F49">
        <v>29820</v>
      </c>
      <c r="G49" t="s">
        <v>9718</v>
      </c>
      <c r="H49" s="8" t="s">
        <v>9785</v>
      </c>
      <c r="I49" t="s">
        <v>9764</v>
      </c>
      <c r="J49" t="s">
        <v>9783</v>
      </c>
      <c r="K49" s="12">
        <v>21.5</v>
      </c>
      <c r="L49" s="12">
        <v>12.8</v>
      </c>
      <c r="M49" s="12">
        <v>4.3</v>
      </c>
      <c r="N49" s="12">
        <v>5.0999999999999996</v>
      </c>
      <c r="O49" s="12">
        <v>10.8</v>
      </c>
      <c r="P49" s="12">
        <v>22.3</v>
      </c>
      <c r="Q49" s="12">
        <v>76</v>
      </c>
      <c r="R49" s="12">
        <v>68</v>
      </c>
      <c r="S49" s="12">
        <f t="shared" si="0"/>
        <v>8</v>
      </c>
      <c r="T49" s="12">
        <v>72</v>
      </c>
      <c r="W49" s="11" t="s">
        <v>9885</v>
      </c>
    </row>
    <row r="50" spans="2:23" x14ac:dyDescent="0.2">
      <c r="B50" t="s">
        <v>9695</v>
      </c>
      <c r="D50" s="8" t="s">
        <v>3998</v>
      </c>
      <c r="E50" s="8" t="s">
        <v>9696</v>
      </c>
      <c r="F50">
        <v>29822</v>
      </c>
      <c r="G50" s="13">
        <v>22262</v>
      </c>
      <c r="H50" s="8" t="s">
        <v>9785</v>
      </c>
      <c r="I50" t="s">
        <v>9764</v>
      </c>
      <c r="J50" t="s">
        <v>9784</v>
      </c>
      <c r="K50" s="12">
        <v>19.399999999999999</v>
      </c>
      <c r="L50" s="12">
        <v>11.4</v>
      </c>
      <c r="M50" s="12">
        <v>4.5999999999999996</v>
      </c>
      <c r="N50" s="12">
        <v>4.7</v>
      </c>
      <c r="O50" s="12">
        <v>10.3</v>
      </c>
      <c r="P50" s="12">
        <v>20.2</v>
      </c>
      <c r="Q50" s="12">
        <v>70</v>
      </c>
      <c r="R50" s="12" t="s">
        <v>9693</v>
      </c>
      <c r="S50" s="12" t="s">
        <v>9693</v>
      </c>
      <c r="T50" s="12" t="s">
        <v>9693</v>
      </c>
      <c r="V50" s="8" t="s">
        <v>9846</v>
      </c>
      <c r="W50" s="11" t="s">
        <v>9885</v>
      </c>
    </row>
    <row r="51" spans="2:23" x14ac:dyDescent="0.2">
      <c r="B51" t="s">
        <v>9695</v>
      </c>
      <c r="D51" s="8" t="s">
        <v>3998</v>
      </c>
      <c r="E51" s="8" t="s">
        <v>9696</v>
      </c>
      <c r="F51">
        <v>29824</v>
      </c>
      <c r="G51" t="s">
        <v>9719</v>
      </c>
      <c r="H51" s="8" t="s">
        <v>9785</v>
      </c>
      <c r="I51" t="s">
        <v>9764</v>
      </c>
      <c r="J51" t="s">
        <v>9783</v>
      </c>
      <c r="K51" s="12">
        <v>21</v>
      </c>
      <c r="L51" s="12">
        <v>12</v>
      </c>
      <c r="M51" s="12">
        <v>5</v>
      </c>
      <c r="N51" s="12">
        <v>5</v>
      </c>
      <c r="O51" s="12">
        <v>10.7</v>
      </c>
      <c r="P51" s="12">
        <v>22.7</v>
      </c>
      <c r="Q51" s="12">
        <v>76</v>
      </c>
      <c r="R51" s="12">
        <v>69</v>
      </c>
      <c r="S51" s="12">
        <f t="shared" si="0"/>
        <v>7</v>
      </c>
      <c r="T51" s="12" t="s">
        <v>9693</v>
      </c>
      <c r="V51" s="8" t="s">
        <v>9847</v>
      </c>
      <c r="W51" s="11" t="s">
        <v>9885</v>
      </c>
    </row>
    <row r="52" spans="2:23" x14ac:dyDescent="0.2">
      <c r="B52" t="s">
        <v>9695</v>
      </c>
      <c r="D52" s="8" t="s">
        <v>3978</v>
      </c>
      <c r="E52" s="8" t="s">
        <v>9696</v>
      </c>
      <c r="F52">
        <v>29816</v>
      </c>
      <c r="G52" s="13">
        <v>22434</v>
      </c>
      <c r="H52" s="8" t="s">
        <v>9785</v>
      </c>
      <c r="I52" t="s">
        <v>9764</v>
      </c>
      <c r="J52" t="s">
        <v>9783</v>
      </c>
      <c r="K52" s="12">
        <v>19.5</v>
      </c>
      <c r="L52" s="12">
        <v>10.4</v>
      </c>
      <c r="M52" s="12">
        <v>4.2</v>
      </c>
      <c r="N52" s="12">
        <v>4.8</v>
      </c>
      <c r="O52" s="12">
        <v>10.7</v>
      </c>
      <c r="P52" s="12">
        <v>24</v>
      </c>
      <c r="Q52" s="12">
        <v>79</v>
      </c>
      <c r="R52" s="12">
        <v>71</v>
      </c>
      <c r="S52" s="12">
        <f t="shared" si="0"/>
        <v>8</v>
      </c>
      <c r="T52" s="12">
        <v>79</v>
      </c>
      <c r="W52" s="11" t="s">
        <v>9885</v>
      </c>
    </row>
    <row r="53" spans="2:23" x14ac:dyDescent="0.2">
      <c r="B53" t="s">
        <v>9695</v>
      </c>
      <c r="D53" s="8" t="s">
        <v>3978</v>
      </c>
      <c r="E53" s="8" t="s">
        <v>9696</v>
      </c>
      <c r="F53">
        <v>29818</v>
      </c>
      <c r="G53" t="s">
        <v>9707</v>
      </c>
      <c r="H53" s="8" t="s">
        <v>9785</v>
      </c>
      <c r="I53" t="s">
        <v>9764</v>
      </c>
      <c r="J53" t="s">
        <v>9783</v>
      </c>
      <c r="K53" s="12">
        <v>19.600000000000001</v>
      </c>
      <c r="L53" s="12">
        <v>10.5</v>
      </c>
      <c r="M53" s="12">
        <v>4.4000000000000004</v>
      </c>
      <c r="N53" s="12">
        <v>4.8</v>
      </c>
      <c r="O53" s="12">
        <v>11.7</v>
      </c>
      <c r="P53" s="12">
        <v>23.4</v>
      </c>
      <c r="Q53" s="12">
        <v>78</v>
      </c>
      <c r="R53" s="12">
        <v>72</v>
      </c>
      <c r="S53" s="12">
        <f t="shared" si="0"/>
        <v>6</v>
      </c>
      <c r="T53" s="12">
        <v>78</v>
      </c>
      <c r="W53" s="11" t="s">
        <v>9885</v>
      </c>
    </row>
    <row r="54" spans="2:23" x14ac:dyDescent="0.2">
      <c r="B54" t="s">
        <v>9695</v>
      </c>
      <c r="D54" s="8" t="s">
        <v>3978</v>
      </c>
      <c r="E54" s="8" t="s">
        <v>9696</v>
      </c>
      <c r="F54">
        <v>29815</v>
      </c>
      <c r="G54" s="13">
        <v>22262</v>
      </c>
      <c r="H54" s="8" t="s">
        <v>9785</v>
      </c>
      <c r="I54" t="s">
        <v>9764</v>
      </c>
      <c r="J54" t="s">
        <v>9783</v>
      </c>
      <c r="K54" s="12">
        <v>19.5</v>
      </c>
      <c r="L54" s="12">
        <v>10.7</v>
      </c>
      <c r="M54" s="12">
        <v>4.5</v>
      </c>
      <c r="N54" s="12">
        <v>4.8</v>
      </c>
      <c r="O54" s="12">
        <v>11.9</v>
      </c>
      <c r="P54" s="12">
        <v>22.1</v>
      </c>
      <c r="Q54" s="12">
        <v>76</v>
      </c>
      <c r="R54" s="12">
        <v>72</v>
      </c>
      <c r="S54" s="12">
        <f t="shared" si="0"/>
        <v>4</v>
      </c>
      <c r="T54" s="12">
        <v>84</v>
      </c>
      <c r="W54" s="11" t="s">
        <v>9885</v>
      </c>
    </row>
    <row r="55" spans="2:23" x14ac:dyDescent="0.2">
      <c r="B55" t="s">
        <v>9695</v>
      </c>
      <c r="D55" s="8" t="s">
        <v>3978</v>
      </c>
      <c r="E55" s="8" t="s">
        <v>9696</v>
      </c>
      <c r="F55">
        <v>29817</v>
      </c>
      <c r="G55" s="13">
        <v>22556</v>
      </c>
      <c r="H55" s="8" t="s">
        <v>9785</v>
      </c>
      <c r="I55" t="s">
        <v>9764</v>
      </c>
      <c r="J55" t="s">
        <v>9783</v>
      </c>
      <c r="K55" s="12">
        <v>20.2</v>
      </c>
      <c r="L55" s="12">
        <v>11.6</v>
      </c>
      <c r="M55" s="12">
        <v>4</v>
      </c>
      <c r="N55" s="12">
        <v>4.2</v>
      </c>
      <c r="O55" s="12">
        <v>11.8</v>
      </c>
      <c r="P55" s="12">
        <v>25.2</v>
      </c>
      <c r="Q55" s="12">
        <v>80</v>
      </c>
      <c r="R55" s="12">
        <v>74</v>
      </c>
      <c r="S55" s="12">
        <f t="shared" si="0"/>
        <v>6</v>
      </c>
      <c r="T55" s="12">
        <v>80</v>
      </c>
      <c r="W55" s="11" t="s">
        <v>9885</v>
      </c>
    </row>
    <row r="56" spans="2:23" x14ac:dyDescent="0.2">
      <c r="B56" t="s">
        <v>9695</v>
      </c>
      <c r="D56" s="8" t="s">
        <v>4006</v>
      </c>
      <c r="E56" s="8" t="s">
        <v>9696</v>
      </c>
      <c r="F56">
        <v>31980</v>
      </c>
      <c r="G56" s="13">
        <v>24050</v>
      </c>
      <c r="H56" s="8" t="s">
        <v>9786</v>
      </c>
      <c r="I56" t="s">
        <v>9765</v>
      </c>
      <c r="J56" t="s">
        <v>9783</v>
      </c>
      <c r="K56" s="12">
        <v>15.3</v>
      </c>
      <c r="L56" s="12">
        <v>10.199999999999999</v>
      </c>
      <c r="M56" s="12">
        <v>4.0999999999999996</v>
      </c>
      <c r="N56" s="12">
        <v>4.0999999999999996</v>
      </c>
      <c r="O56" s="12">
        <v>9.3000000000000007</v>
      </c>
      <c r="P56" s="12">
        <v>19.100000000000001</v>
      </c>
      <c r="Q56" s="12">
        <v>65</v>
      </c>
      <c r="R56" s="12">
        <v>58</v>
      </c>
      <c r="S56" s="12">
        <f t="shared" ref="S56:S117" si="1">Q56-R56</f>
        <v>7</v>
      </c>
      <c r="T56" s="12">
        <v>62</v>
      </c>
      <c r="U56" s="8" t="s">
        <v>9844</v>
      </c>
      <c r="W56" s="11" t="s">
        <v>9885</v>
      </c>
    </row>
    <row r="57" spans="2:23" x14ac:dyDescent="0.2">
      <c r="B57" t="s">
        <v>9695</v>
      </c>
      <c r="D57" s="8" t="s">
        <v>4006</v>
      </c>
      <c r="E57" s="8" t="s">
        <v>9696</v>
      </c>
      <c r="F57">
        <v>31996</v>
      </c>
      <c r="G57" s="13">
        <v>24050</v>
      </c>
      <c r="H57" s="8" t="s">
        <v>9786</v>
      </c>
      <c r="I57" t="s">
        <v>9765</v>
      </c>
      <c r="J57" t="s">
        <v>9783</v>
      </c>
      <c r="K57" s="12">
        <v>15.4</v>
      </c>
      <c r="L57" s="12">
        <v>9.5</v>
      </c>
      <c r="M57" s="12">
        <v>3.9</v>
      </c>
      <c r="N57" s="12">
        <v>4.2</v>
      </c>
      <c r="O57" s="12">
        <v>9.6</v>
      </c>
      <c r="P57" s="12">
        <v>19.2</v>
      </c>
      <c r="Q57" s="12">
        <v>68</v>
      </c>
      <c r="R57" s="12">
        <v>60</v>
      </c>
      <c r="S57" s="12">
        <f t="shared" si="1"/>
        <v>8</v>
      </c>
      <c r="T57" s="12">
        <v>65</v>
      </c>
      <c r="U57" s="8" t="s">
        <v>9844</v>
      </c>
      <c r="W57" s="11" t="s">
        <v>9885</v>
      </c>
    </row>
    <row r="58" spans="2:23" x14ac:dyDescent="0.2">
      <c r="B58" t="s">
        <v>9695</v>
      </c>
      <c r="D58" s="8" t="s">
        <v>4006</v>
      </c>
      <c r="E58" s="8" t="s">
        <v>9696</v>
      </c>
      <c r="F58">
        <v>31979</v>
      </c>
      <c r="G58" s="13">
        <v>23989</v>
      </c>
      <c r="H58" s="8" t="s">
        <v>9786</v>
      </c>
      <c r="I58" t="s">
        <v>9765</v>
      </c>
      <c r="J58" t="s">
        <v>9783</v>
      </c>
      <c r="K58" s="12">
        <v>14.4</v>
      </c>
      <c r="L58" s="12">
        <v>8.6999999999999993</v>
      </c>
      <c r="M58" s="12">
        <v>3.6</v>
      </c>
      <c r="N58" s="12">
        <v>4</v>
      </c>
      <c r="O58" s="12">
        <v>8.4</v>
      </c>
      <c r="P58" s="12">
        <v>17.5</v>
      </c>
      <c r="Q58" s="12">
        <v>65</v>
      </c>
      <c r="R58" s="12">
        <v>56</v>
      </c>
      <c r="S58" s="12">
        <f t="shared" si="1"/>
        <v>9</v>
      </c>
      <c r="T58" s="12">
        <v>60</v>
      </c>
      <c r="U58" s="8" t="s">
        <v>9844</v>
      </c>
      <c r="W58" s="11" t="s">
        <v>9885</v>
      </c>
    </row>
    <row r="59" spans="2:23" x14ac:dyDescent="0.2">
      <c r="B59" t="s">
        <v>9695</v>
      </c>
      <c r="D59" s="8" t="s">
        <v>4006</v>
      </c>
      <c r="E59" s="8" t="s">
        <v>9696</v>
      </c>
      <c r="F59">
        <v>31995</v>
      </c>
      <c r="G59" s="13">
        <v>24050</v>
      </c>
      <c r="H59" s="8" t="s">
        <v>9786</v>
      </c>
      <c r="I59" t="s">
        <v>9765</v>
      </c>
      <c r="J59" t="s">
        <v>9783</v>
      </c>
      <c r="K59" s="12">
        <v>14.9</v>
      </c>
      <c r="L59" s="12">
        <v>9.5</v>
      </c>
      <c r="M59" s="12">
        <v>3.5</v>
      </c>
      <c r="N59" s="12">
        <v>4.3</v>
      </c>
      <c r="O59" s="12">
        <v>9.3000000000000007</v>
      </c>
      <c r="P59" s="12">
        <v>17.7</v>
      </c>
      <c r="Q59" s="12">
        <v>64</v>
      </c>
      <c r="R59" s="12">
        <v>56</v>
      </c>
      <c r="S59" s="12">
        <f t="shared" si="1"/>
        <v>8</v>
      </c>
      <c r="T59" s="12">
        <v>59</v>
      </c>
      <c r="U59" s="8" t="s">
        <v>9844</v>
      </c>
      <c r="W59" s="11" t="s">
        <v>9885</v>
      </c>
    </row>
    <row r="60" spans="2:23" x14ac:dyDescent="0.2">
      <c r="B60" t="s">
        <v>9695</v>
      </c>
      <c r="D60" s="8" t="s">
        <v>3984</v>
      </c>
      <c r="E60" s="8" t="s">
        <v>9696</v>
      </c>
      <c r="F60">
        <v>31970</v>
      </c>
      <c r="G60" s="13">
        <v>23989</v>
      </c>
      <c r="H60" s="8" t="s">
        <v>9786</v>
      </c>
      <c r="I60" t="s">
        <v>9765</v>
      </c>
      <c r="J60" t="s">
        <v>9783</v>
      </c>
      <c r="K60" s="12">
        <v>21</v>
      </c>
      <c r="L60" s="12">
        <v>12.5</v>
      </c>
      <c r="M60" s="12">
        <v>4</v>
      </c>
      <c r="N60" s="12">
        <v>5.0999999999999996</v>
      </c>
      <c r="O60" s="12">
        <v>10.3</v>
      </c>
      <c r="P60" s="12">
        <v>24.2</v>
      </c>
      <c r="Q60" s="12">
        <v>84</v>
      </c>
      <c r="R60" s="12">
        <v>74</v>
      </c>
      <c r="S60" s="12">
        <f t="shared" si="1"/>
        <v>10</v>
      </c>
      <c r="T60" s="12">
        <v>85</v>
      </c>
      <c r="W60" s="11" t="s">
        <v>9885</v>
      </c>
    </row>
    <row r="61" spans="2:23" x14ac:dyDescent="0.2">
      <c r="B61" t="s">
        <v>9695</v>
      </c>
      <c r="D61" s="8" t="s">
        <v>3984</v>
      </c>
      <c r="E61" s="8" t="s">
        <v>9696</v>
      </c>
      <c r="F61">
        <v>33733</v>
      </c>
      <c r="G61" t="s">
        <v>9708</v>
      </c>
      <c r="H61" s="8" t="s">
        <v>9787</v>
      </c>
      <c r="I61" t="s">
        <v>9766</v>
      </c>
      <c r="J61" t="s">
        <v>9784</v>
      </c>
      <c r="K61" s="12">
        <v>15.5</v>
      </c>
      <c r="L61" s="12">
        <v>8.9</v>
      </c>
      <c r="M61" s="12">
        <v>3.6</v>
      </c>
      <c r="N61" s="12">
        <v>4</v>
      </c>
      <c r="O61" s="12">
        <v>10.5</v>
      </c>
      <c r="P61" s="12">
        <v>22.6</v>
      </c>
      <c r="Q61" s="12">
        <v>70</v>
      </c>
      <c r="R61" s="12">
        <v>63</v>
      </c>
      <c r="S61" s="12">
        <f t="shared" si="1"/>
        <v>7</v>
      </c>
      <c r="T61" s="12">
        <v>72</v>
      </c>
      <c r="V61" s="8" t="s">
        <v>9842</v>
      </c>
      <c r="W61" s="11" t="s">
        <v>9885</v>
      </c>
    </row>
    <row r="62" spans="2:23" x14ac:dyDescent="0.2">
      <c r="B62" t="s">
        <v>9695</v>
      </c>
      <c r="D62" s="8" t="s">
        <v>3984</v>
      </c>
      <c r="E62" s="8" t="s">
        <v>9696</v>
      </c>
      <c r="F62">
        <v>31971</v>
      </c>
      <c r="G62" s="13">
        <v>23989</v>
      </c>
      <c r="H62" s="8" t="s">
        <v>9786</v>
      </c>
      <c r="I62" t="s">
        <v>9765</v>
      </c>
      <c r="J62" t="s">
        <v>9783</v>
      </c>
      <c r="K62" s="12">
        <v>21</v>
      </c>
      <c r="L62" s="12">
        <v>14.2</v>
      </c>
      <c r="M62" s="12">
        <v>3.6</v>
      </c>
      <c r="N62" s="12">
        <v>5.2</v>
      </c>
      <c r="O62" s="12">
        <v>10.8</v>
      </c>
      <c r="P62" s="12">
        <v>22.5</v>
      </c>
      <c r="Q62" s="12">
        <v>83</v>
      </c>
      <c r="R62" s="12">
        <v>74</v>
      </c>
      <c r="S62" s="12">
        <f t="shared" si="1"/>
        <v>9</v>
      </c>
      <c r="T62" s="12">
        <v>88</v>
      </c>
      <c r="W62" s="11" t="s">
        <v>9885</v>
      </c>
    </row>
    <row r="63" spans="2:23" x14ac:dyDescent="0.2">
      <c r="B63" t="s">
        <v>9695</v>
      </c>
      <c r="D63" s="8" t="s">
        <v>3984</v>
      </c>
      <c r="E63" s="8" t="s">
        <v>9696</v>
      </c>
      <c r="F63">
        <v>33732</v>
      </c>
      <c r="G63" t="s">
        <v>9708</v>
      </c>
      <c r="H63" s="8" t="s">
        <v>9787</v>
      </c>
      <c r="I63" t="s">
        <v>9766</v>
      </c>
      <c r="J63" t="s">
        <v>9783</v>
      </c>
      <c r="K63" s="12">
        <v>18</v>
      </c>
      <c r="L63" s="12">
        <v>9.5</v>
      </c>
      <c r="M63" s="12">
        <v>4.3</v>
      </c>
      <c r="N63" s="12">
        <v>4.5999999999999996</v>
      </c>
      <c r="O63" s="12">
        <v>11.4</v>
      </c>
      <c r="P63" s="12">
        <v>22.7</v>
      </c>
      <c r="Q63" s="12">
        <v>77</v>
      </c>
      <c r="R63" s="12">
        <v>70</v>
      </c>
      <c r="S63" s="12">
        <f t="shared" si="1"/>
        <v>7</v>
      </c>
      <c r="T63" s="12">
        <v>77</v>
      </c>
      <c r="V63" s="8" t="s">
        <v>9842</v>
      </c>
      <c r="W63" s="11" t="s">
        <v>9885</v>
      </c>
    </row>
    <row r="64" spans="2:23" x14ac:dyDescent="0.2">
      <c r="B64" t="s">
        <v>9695</v>
      </c>
      <c r="D64" s="8" t="s">
        <v>3980</v>
      </c>
      <c r="E64" s="8" t="s">
        <v>9696</v>
      </c>
      <c r="F64">
        <v>13397</v>
      </c>
      <c r="G64" t="s">
        <v>9709</v>
      </c>
      <c r="H64" s="8" t="s">
        <v>9788</v>
      </c>
      <c r="I64" t="s">
        <v>9766</v>
      </c>
      <c r="J64" t="s">
        <v>9784</v>
      </c>
      <c r="K64" s="12">
        <v>17.600000000000001</v>
      </c>
      <c r="L64" s="12">
        <v>10.6</v>
      </c>
      <c r="M64" s="12">
        <v>4.2</v>
      </c>
      <c r="N64" s="12">
        <v>4.5999999999999996</v>
      </c>
      <c r="O64" s="12">
        <v>10.9</v>
      </c>
      <c r="P64" s="12">
        <v>19.399999999999999</v>
      </c>
      <c r="Q64" s="12">
        <v>71</v>
      </c>
      <c r="R64" s="12">
        <v>65</v>
      </c>
      <c r="S64" s="12">
        <f t="shared" si="1"/>
        <v>6</v>
      </c>
      <c r="T64" s="12">
        <v>71</v>
      </c>
      <c r="W64" s="11" t="s">
        <v>9885</v>
      </c>
    </row>
    <row r="65" spans="2:23" x14ac:dyDescent="0.2">
      <c r="B65" t="s">
        <v>9695</v>
      </c>
      <c r="D65" s="8" t="s">
        <v>3992</v>
      </c>
      <c r="E65" s="8" t="s">
        <v>9696</v>
      </c>
      <c r="F65">
        <v>13395</v>
      </c>
      <c r="G65" s="13">
        <v>39209</v>
      </c>
      <c r="H65" s="8" t="s">
        <v>9818</v>
      </c>
      <c r="I65" t="s">
        <v>9776</v>
      </c>
      <c r="J65"/>
      <c r="K65" s="12">
        <v>19.8</v>
      </c>
      <c r="L65" s="12">
        <v>12.3</v>
      </c>
      <c r="M65" s="12">
        <v>5</v>
      </c>
      <c r="N65" s="12">
        <v>4.9000000000000004</v>
      </c>
      <c r="O65" s="12">
        <v>10.4</v>
      </c>
      <c r="P65" s="12">
        <v>20</v>
      </c>
      <c r="Q65" s="12">
        <v>75</v>
      </c>
      <c r="R65" s="12">
        <v>65</v>
      </c>
      <c r="S65" s="12">
        <f t="shared" si="1"/>
        <v>10</v>
      </c>
      <c r="T65" s="12">
        <v>74</v>
      </c>
      <c r="W65" s="11" t="s">
        <v>9885</v>
      </c>
    </row>
    <row r="66" spans="2:23" x14ac:dyDescent="0.2">
      <c r="B66" t="s">
        <v>9695</v>
      </c>
      <c r="D66" s="8" t="s">
        <v>3992</v>
      </c>
      <c r="E66" s="8" t="s">
        <v>9696</v>
      </c>
      <c r="F66">
        <v>29923</v>
      </c>
      <c r="G66" t="s">
        <v>9740</v>
      </c>
      <c r="H66" s="8" t="s">
        <v>9819</v>
      </c>
      <c r="I66" t="s">
        <v>9764</v>
      </c>
      <c r="J66" t="s">
        <v>9783</v>
      </c>
      <c r="K66" s="12">
        <v>19.100000000000001</v>
      </c>
      <c r="L66" s="12">
        <v>11.9</v>
      </c>
      <c r="M66" s="12">
        <v>4.5999999999999996</v>
      </c>
      <c r="N66" s="12">
        <v>4.8</v>
      </c>
      <c r="O66" s="12">
        <v>9.5</v>
      </c>
      <c r="P66" s="12">
        <v>20.3</v>
      </c>
      <c r="Q66" s="12">
        <v>74</v>
      </c>
      <c r="R66" s="12" t="s">
        <v>9693</v>
      </c>
      <c r="S66" s="12" t="s">
        <v>9693</v>
      </c>
      <c r="T66" s="12" t="s">
        <v>9693</v>
      </c>
      <c r="V66" s="8" t="s">
        <v>9868</v>
      </c>
      <c r="W66" s="11" t="s">
        <v>9885</v>
      </c>
    </row>
    <row r="67" spans="2:23" x14ac:dyDescent="0.2">
      <c r="B67" t="s">
        <v>9695</v>
      </c>
      <c r="D67" s="8" t="s">
        <v>3992</v>
      </c>
      <c r="E67" s="8" t="s">
        <v>9696</v>
      </c>
      <c r="F67">
        <v>29902</v>
      </c>
      <c r="G67" t="s">
        <v>9712</v>
      </c>
      <c r="H67" s="8" t="s">
        <v>9792</v>
      </c>
      <c r="I67" t="s">
        <v>9764</v>
      </c>
      <c r="J67" t="s">
        <v>9783</v>
      </c>
      <c r="K67" s="12">
        <v>19.8</v>
      </c>
      <c r="L67" s="12">
        <v>12.8</v>
      </c>
      <c r="M67" s="12">
        <v>4.8</v>
      </c>
      <c r="N67" s="12">
        <v>4.5999999999999996</v>
      </c>
      <c r="O67" s="12">
        <v>10.199999999999999</v>
      </c>
      <c r="P67" s="12">
        <v>20.2</v>
      </c>
      <c r="Q67" s="12">
        <v>74</v>
      </c>
      <c r="R67" s="12">
        <v>62</v>
      </c>
      <c r="S67" s="12">
        <f t="shared" si="1"/>
        <v>12</v>
      </c>
      <c r="T67" s="12">
        <v>74</v>
      </c>
      <c r="W67" s="11" t="s">
        <v>9885</v>
      </c>
    </row>
    <row r="68" spans="2:23" x14ac:dyDescent="0.2">
      <c r="B68" t="s">
        <v>9695</v>
      </c>
      <c r="D68" s="8" t="s">
        <v>3992</v>
      </c>
      <c r="E68" s="8" t="s">
        <v>9696</v>
      </c>
      <c r="F68">
        <v>29963</v>
      </c>
      <c r="G68" t="s">
        <v>9741</v>
      </c>
      <c r="H68" s="8" t="s">
        <v>9820</v>
      </c>
      <c r="I68" t="s">
        <v>9764</v>
      </c>
      <c r="J68" t="s">
        <v>9784</v>
      </c>
      <c r="K68" s="12">
        <v>17</v>
      </c>
      <c r="L68" s="12">
        <v>10.5</v>
      </c>
      <c r="M68" s="12">
        <v>4.4000000000000004</v>
      </c>
      <c r="N68" s="12">
        <v>4.2</v>
      </c>
      <c r="O68" s="12">
        <v>10</v>
      </c>
      <c r="P68" s="12">
        <v>18.2</v>
      </c>
      <c r="Q68" s="12">
        <v>69</v>
      </c>
      <c r="R68" s="12">
        <v>58</v>
      </c>
      <c r="S68" s="12">
        <f t="shared" si="1"/>
        <v>11</v>
      </c>
      <c r="T68" s="12">
        <v>63</v>
      </c>
      <c r="W68" s="11" t="s">
        <v>9885</v>
      </c>
    </row>
    <row r="69" spans="2:23" x14ac:dyDescent="0.2">
      <c r="B69" t="s">
        <v>9695</v>
      </c>
      <c r="D69" s="8" t="s">
        <v>4004</v>
      </c>
      <c r="E69" s="8" t="s">
        <v>9696</v>
      </c>
      <c r="F69">
        <v>30008</v>
      </c>
      <c r="G69" t="s">
        <v>9756</v>
      </c>
      <c r="H69" s="8" t="s">
        <v>9836</v>
      </c>
      <c r="I69" t="s">
        <v>9764</v>
      </c>
      <c r="J69" t="s">
        <v>9784</v>
      </c>
      <c r="K69" s="12">
        <v>22.3</v>
      </c>
      <c r="L69" s="12">
        <v>12.2</v>
      </c>
      <c r="M69" s="12">
        <v>4.8</v>
      </c>
      <c r="N69" s="12">
        <v>5.2</v>
      </c>
      <c r="O69" s="12">
        <v>12.4</v>
      </c>
      <c r="P69" s="12">
        <v>26.4</v>
      </c>
      <c r="Q69" s="12">
        <v>95</v>
      </c>
      <c r="R69" s="12" t="s">
        <v>9693</v>
      </c>
      <c r="S69" s="12" t="s">
        <v>9693</v>
      </c>
      <c r="T69" s="12">
        <v>95</v>
      </c>
      <c r="V69" s="8" t="s">
        <v>9859</v>
      </c>
      <c r="W69" s="11" t="s">
        <v>9885</v>
      </c>
    </row>
    <row r="70" spans="2:23" x14ac:dyDescent="0.2">
      <c r="B70" t="s">
        <v>9695</v>
      </c>
      <c r="D70" s="8" t="s">
        <v>9705</v>
      </c>
      <c r="E70" s="8" t="s">
        <v>9696</v>
      </c>
      <c r="F70">
        <v>29814</v>
      </c>
      <c r="G70" t="s">
        <v>9757</v>
      </c>
      <c r="H70" s="8" t="s">
        <v>9785</v>
      </c>
      <c r="I70" t="s">
        <v>9764</v>
      </c>
      <c r="J70" t="s">
        <v>9783</v>
      </c>
      <c r="K70" s="12">
        <v>22.3</v>
      </c>
      <c r="L70" s="12">
        <v>12.4</v>
      </c>
      <c r="M70" s="12">
        <v>4.9000000000000004</v>
      </c>
      <c r="N70" s="12">
        <v>5.4</v>
      </c>
      <c r="O70" s="12">
        <v>12.7</v>
      </c>
      <c r="P70" s="12">
        <v>29.4</v>
      </c>
      <c r="Q70" s="12">
        <v>111</v>
      </c>
      <c r="R70" s="12">
        <v>96</v>
      </c>
      <c r="S70" s="12">
        <f t="shared" si="1"/>
        <v>15</v>
      </c>
      <c r="T70" s="12">
        <v>106</v>
      </c>
      <c r="V70" s="8" t="s">
        <v>9843</v>
      </c>
      <c r="W70" s="11" t="s">
        <v>9885</v>
      </c>
    </row>
    <row r="71" spans="2:23" x14ac:dyDescent="0.2">
      <c r="B71" t="s">
        <v>9695</v>
      </c>
      <c r="D71" s="8" t="s">
        <v>3972</v>
      </c>
      <c r="E71" s="8" t="s">
        <v>9696</v>
      </c>
      <c r="F71">
        <v>31975</v>
      </c>
      <c r="G71" s="13">
        <v>23958</v>
      </c>
      <c r="H71" s="8" t="s">
        <v>9786</v>
      </c>
      <c r="I71" t="s">
        <v>9765</v>
      </c>
      <c r="J71" t="s">
        <v>9783</v>
      </c>
      <c r="K71" s="12">
        <v>19.3</v>
      </c>
      <c r="L71" s="12">
        <v>11.3</v>
      </c>
      <c r="M71" s="12">
        <v>4</v>
      </c>
      <c r="N71" s="12">
        <v>4.5</v>
      </c>
      <c r="O71" s="12">
        <v>9.1999999999999993</v>
      </c>
      <c r="P71" s="12">
        <v>22.7</v>
      </c>
      <c r="Q71" s="12">
        <v>76</v>
      </c>
      <c r="R71" s="12">
        <v>68</v>
      </c>
      <c r="S71" s="12">
        <f t="shared" si="1"/>
        <v>8</v>
      </c>
      <c r="T71" s="12">
        <v>82</v>
      </c>
      <c r="W71" s="11" t="s">
        <v>9885</v>
      </c>
    </row>
    <row r="72" spans="2:23" x14ac:dyDescent="0.2">
      <c r="B72" t="s">
        <v>9695</v>
      </c>
      <c r="D72" s="8" t="s">
        <v>3972</v>
      </c>
      <c r="E72" s="8" t="s">
        <v>9696</v>
      </c>
      <c r="F72">
        <v>31974</v>
      </c>
      <c r="G72" s="13">
        <v>23927</v>
      </c>
      <c r="H72" s="8" t="s">
        <v>9786</v>
      </c>
      <c r="I72" t="s">
        <v>9765</v>
      </c>
      <c r="J72" t="s">
        <v>9783</v>
      </c>
      <c r="K72" s="12">
        <v>20.5</v>
      </c>
      <c r="L72" s="12">
        <v>11.4</v>
      </c>
      <c r="M72" s="12">
        <v>4.5999999999999996</v>
      </c>
      <c r="N72" s="12">
        <v>5</v>
      </c>
      <c r="O72" s="12">
        <v>9.1999999999999993</v>
      </c>
      <c r="P72" s="12">
        <v>22.4</v>
      </c>
      <c r="Q72" s="12">
        <v>81</v>
      </c>
      <c r="R72" s="12">
        <v>70</v>
      </c>
      <c r="S72" s="12">
        <f t="shared" si="1"/>
        <v>11</v>
      </c>
      <c r="T72" s="12">
        <v>83</v>
      </c>
      <c r="W72" s="11" t="s">
        <v>9885</v>
      </c>
    </row>
    <row r="73" spans="2:23" x14ac:dyDescent="0.2">
      <c r="B73" t="s">
        <v>9695</v>
      </c>
      <c r="D73" s="8" t="s">
        <v>3972</v>
      </c>
      <c r="E73" s="8" t="s">
        <v>9696</v>
      </c>
      <c r="F73">
        <v>13396</v>
      </c>
      <c r="G73" t="s">
        <v>9693</v>
      </c>
      <c r="H73" s="8" t="s">
        <v>9838</v>
      </c>
      <c r="I73" t="s">
        <v>9765</v>
      </c>
      <c r="J73" t="s">
        <v>9784</v>
      </c>
      <c r="K73" s="12">
        <v>19</v>
      </c>
      <c r="L73" s="12">
        <v>10.8</v>
      </c>
      <c r="M73" s="12">
        <v>3.9</v>
      </c>
      <c r="N73" s="12">
        <v>4.5999999999999996</v>
      </c>
      <c r="O73" s="12">
        <v>9.4</v>
      </c>
      <c r="P73" s="12">
        <v>23.1</v>
      </c>
      <c r="Q73" s="12">
        <v>75</v>
      </c>
      <c r="R73" s="12">
        <v>65</v>
      </c>
      <c r="S73" s="12">
        <f t="shared" si="1"/>
        <v>10</v>
      </c>
      <c r="T73" s="12">
        <v>90</v>
      </c>
      <c r="W73" s="11" t="s">
        <v>9885</v>
      </c>
    </row>
    <row r="74" spans="2:23" x14ac:dyDescent="0.2">
      <c r="B74" t="s">
        <v>9695</v>
      </c>
      <c r="D74" s="8" t="s">
        <v>3969</v>
      </c>
      <c r="E74" s="8" t="s">
        <v>9696</v>
      </c>
      <c r="F74">
        <v>31976</v>
      </c>
      <c r="G74" s="13">
        <v>24050</v>
      </c>
      <c r="H74" s="8" t="s">
        <v>9786</v>
      </c>
      <c r="I74" t="s">
        <v>9765</v>
      </c>
      <c r="J74" t="s">
        <v>9784</v>
      </c>
      <c r="K74" s="12">
        <v>19.8</v>
      </c>
      <c r="L74" s="12">
        <v>11.9</v>
      </c>
      <c r="M74" s="12">
        <v>4.5</v>
      </c>
      <c r="N74" s="12">
        <v>4.7</v>
      </c>
      <c r="O74" s="12">
        <v>9.9</v>
      </c>
      <c r="P74" s="12">
        <v>21.9</v>
      </c>
      <c r="Q74" s="12">
        <v>76</v>
      </c>
      <c r="R74" s="12">
        <v>68</v>
      </c>
      <c r="S74" s="12">
        <f t="shared" si="1"/>
        <v>8</v>
      </c>
      <c r="T74" s="12">
        <v>76</v>
      </c>
      <c r="W74" s="11" t="s">
        <v>9885</v>
      </c>
    </row>
    <row r="75" spans="2:23" x14ac:dyDescent="0.2">
      <c r="B75" t="s">
        <v>9695</v>
      </c>
      <c r="D75" s="8" t="s">
        <v>3969</v>
      </c>
      <c r="E75" s="8" t="s">
        <v>9696</v>
      </c>
      <c r="F75">
        <v>31978</v>
      </c>
      <c r="G75" s="13">
        <v>24050</v>
      </c>
      <c r="H75" s="8" t="s">
        <v>9786</v>
      </c>
      <c r="I75" t="s">
        <v>9765</v>
      </c>
      <c r="J75" t="s">
        <v>9783</v>
      </c>
      <c r="K75" s="12">
        <v>21.6</v>
      </c>
      <c r="L75" s="12">
        <v>12.9</v>
      </c>
      <c r="M75" s="12">
        <v>4.5999999999999996</v>
      </c>
      <c r="N75" s="12">
        <v>5</v>
      </c>
      <c r="O75" s="12">
        <v>11</v>
      </c>
      <c r="P75" s="12">
        <v>23.9</v>
      </c>
      <c r="Q75" s="12">
        <v>88</v>
      </c>
      <c r="R75" s="12">
        <v>78</v>
      </c>
      <c r="S75" s="12">
        <f t="shared" si="1"/>
        <v>10</v>
      </c>
      <c r="T75" s="12">
        <v>91</v>
      </c>
      <c r="W75" s="11" t="s">
        <v>9885</v>
      </c>
    </row>
    <row r="76" spans="2:23" x14ac:dyDescent="0.2">
      <c r="B76" t="s">
        <v>9695</v>
      </c>
      <c r="D76" s="8" t="s">
        <v>3969</v>
      </c>
      <c r="E76" s="8" t="s">
        <v>9696</v>
      </c>
      <c r="F76">
        <v>31977</v>
      </c>
      <c r="G76" s="13">
        <v>23989</v>
      </c>
      <c r="H76" s="8" t="s">
        <v>9786</v>
      </c>
      <c r="I76" t="s">
        <v>9765</v>
      </c>
      <c r="J76" t="s">
        <v>9783</v>
      </c>
      <c r="K76" s="12">
        <v>20.9</v>
      </c>
      <c r="L76" s="12">
        <v>13</v>
      </c>
      <c r="M76" s="12">
        <v>4.4000000000000004</v>
      </c>
      <c r="N76" s="12">
        <v>5.0999999999999996</v>
      </c>
      <c r="O76" s="12">
        <v>11.7</v>
      </c>
      <c r="P76" s="12">
        <v>25</v>
      </c>
      <c r="Q76" s="12">
        <v>82</v>
      </c>
      <c r="R76" s="12">
        <v>70</v>
      </c>
      <c r="S76" s="12">
        <f t="shared" si="1"/>
        <v>12</v>
      </c>
      <c r="T76" s="12">
        <v>80</v>
      </c>
      <c r="W76" s="11" t="s">
        <v>9885</v>
      </c>
    </row>
    <row r="77" spans="2:23" x14ac:dyDescent="0.2">
      <c r="B77" t="s">
        <v>9695</v>
      </c>
      <c r="D77" s="8" t="s">
        <v>9875</v>
      </c>
      <c r="E77" s="8" t="s">
        <v>9696</v>
      </c>
      <c r="F77">
        <v>29811</v>
      </c>
      <c r="G77" s="13">
        <v>22231</v>
      </c>
      <c r="H77" s="8" t="s">
        <v>9785</v>
      </c>
      <c r="I77" t="s">
        <v>9764</v>
      </c>
      <c r="J77" t="s">
        <v>9783</v>
      </c>
      <c r="K77" s="12">
        <v>15</v>
      </c>
      <c r="L77" s="12">
        <v>9.1</v>
      </c>
      <c r="M77" s="12">
        <v>4.5</v>
      </c>
      <c r="N77" s="12">
        <v>4</v>
      </c>
      <c r="O77" s="12">
        <v>9.3000000000000007</v>
      </c>
      <c r="P77" s="12">
        <v>17.5</v>
      </c>
      <c r="Q77" s="12">
        <v>69</v>
      </c>
      <c r="R77" s="12">
        <v>58</v>
      </c>
      <c r="S77" s="12">
        <f t="shared" si="1"/>
        <v>11</v>
      </c>
      <c r="T77" s="12">
        <v>62</v>
      </c>
      <c r="W77" s="11" t="s">
        <v>9885</v>
      </c>
    </row>
    <row r="78" spans="2:23" x14ac:dyDescent="0.2">
      <c r="B78" t="s">
        <v>9695</v>
      </c>
      <c r="D78" s="8" t="s">
        <v>9875</v>
      </c>
      <c r="E78" s="8" t="s">
        <v>9696</v>
      </c>
      <c r="F78">
        <v>29946</v>
      </c>
      <c r="G78" t="s">
        <v>9724</v>
      </c>
      <c r="H78" s="8" t="s">
        <v>9799</v>
      </c>
      <c r="I78" t="s">
        <v>9764</v>
      </c>
      <c r="J78" t="s">
        <v>9783</v>
      </c>
      <c r="K78" s="12">
        <v>15.6</v>
      </c>
      <c r="L78" s="12">
        <v>10</v>
      </c>
      <c r="M78" s="12">
        <v>4.4000000000000004</v>
      </c>
      <c r="N78" s="12">
        <v>4.0999999999999996</v>
      </c>
      <c r="O78" s="12">
        <v>9.4</v>
      </c>
      <c r="P78" s="12">
        <v>18.399999999999999</v>
      </c>
      <c r="Q78" s="12">
        <v>71</v>
      </c>
      <c r="R78" s="12">
        <v>61</v>
      </c>
      <c r="S78" s="12">
        <f t="shared" si="1"/>
        <v>10</v>
      </c>
      <c r="T78" s="12" t="s">
        <v>9693</v>
      </c>
      <c r="V78" s="8" t="s">
        <v>9867</v>
      </c>
      <c r="W78" s="11" t="s">
        <v>9885</v>
      </c>
    </row>
    <row r="79" spans="2:23" x14ac:dyDescent="0.2">
      <c r="B79" t="s">
        <v>9695</v>
      </c>
      <c r="D79" s="8" t="s">
        <v>9876</v>
      </c>
      <c r="E79" s="8" t="s">
        <v>9696</v>
      </c>
      <c r="F79">
        <v>13385</v>
      </c>
      <c r="G79" s="13">
        <v>45847</v>
      </c>
      <c r="H79" s="8" t="s">
        <v>9789</v>
      </c>
      <c r="I79" t="s">
        <v>9767</v>
      </c>
      <c r="J79" t="s">
        <v>9783</v>
      </c>
      <c r="K79" s="12">
        <v>14.3</v>
      </c>
      <c r="L79" s="12">
        <v>8.9</v>
      </c>
      <c r="M79" s="12">
        <v>4</v>
      </c>
      <c r="N79" s="12">
        <v>4.0999999999999996</v>
      </c>
      <c r="O79" s="12">
        <v>8.8000000000000007</v>
      </c>
      <c r="P79" s="12">
        <v>15</v>
      </c>
      <c r="Q79" s="12">
        <v>75</v>
      </c>
      <c r="R79" s="12">
        <v>63</v>
      </c>
      <c r="S79" s="12">
        <f t="shared" si="1"/>
        <v>12</v>
      </c>
      <c r="T79" s="12">
        <v>63</v>
      </c>
      <c r="W79" s="11" t="s">
        <v>9885</v>
      </c>
    </row>
    <row r="80" spans="2:23" x14ac:dyDescent="0.2">
      <c r="B80" t="s">
        <v>9695</v>
      </c>
      <c r="D80" s="8" t="s">
        <v>3908</v>
      </c>
      <c r="E80" s="8" t="s">
        <v>9696</v>
      </c>
      <c r="F80">
        <v>13413</v>
      </c>
      <c r="G80" s="13">
        <v>48559</v>
      </c>
      <c r="H80" s="8" t="s">
        <v>9800</v>
      </c>
      <c r="I80" t="s">
        <v>9770</v>
      </c>
      <c r="J80" t="s">
        <v>9784</v>
      </c>
      <c r="K80" s="12">
        <v>19.3</v>
      </c>
      <c r="L80" s="12">
        <v>9.8000000000000007</v>
      </c>
      <c r="M80" s="12">
        <v>4.9000000000000004</v>
      </c>
      <c r="N80" s="12">
        <v>4.5999999999999996</v>
      </c>
      <c r="O80" s="12">
        <v>11.1</v>
      </c>
      <c r="P80" s="12">
        <v>21.8</v>
      </c>
      <c r="Q80" s="12">
        <v>85</v>
      </c>
      <c r="R80" s="12">
        <v>70</v>
      </c>
      <c r="S80" s="12">
        <f t="shared" si="1"/>
        <v>15</v>
      </c>
      <c r="T80" s="12">
        <v>85</v>
      </c>
      <c r="W80" s="11" t="s">
        <v>9885</v>
      </c>
    </row>
    <row r="81" spans="2:23" x14ac:dyDescent="0.2">
      <c r="B81" t="s">
        <v>9695</v>
      </c>
      <c r="D81" s="8" t="s">
        <v>3908</v>
      </c>
      <c r="E81" s="8" t="s">
        <v>9696</v>
      </c>
      <c r="F81">
        <v>13414</v>
      </c>
      <c r="G81" s="13">
        <v>47212</v>
      </c>
      <c r="H81" s="8" t="s">
        <v>9801</v>
      </c>
      <c r="I81" t="s">
        <v>9770</v>
      </c>
      <c r="J81" t="s">
        <v>9783</v>
      </c>
      <c r="K81" s="12">
        <v>19.100000000000001</v>
      </c>
      <c r="L81" s="12">
        <v>10.4</v>
      </c>
      <c r="M81" s="12">
        <v>5.0999999999999996</v>
      </c>
      <c r="N81" s="12">
        <v>5.2</v>
      </c>
      <c r="O81" s="12">
        <v>9.8000000000000007</v>
      </c>
      <c r="P81" s="12">
        <v>23.1</v>
      </c>
      <c r="Q81" s="12">
        <v>86</v>
      </c>
      <c r="R81" s="12">
        <v>71</v>
      </c>
      <c r="S81" s="12">
        <f t="shared" si="1"/>
        <v>15</v>
      </c>
      <c r="T81" s="12">
        <v>85</v>
      </c>
      <c r="W81" s="11" t="s">
        <v>9885</v>
      </c>
    </row>
    <row r="82" spans="2:23" x14ac:dyDescent="0.2">
      <c r="B82" t="s">
        <v>9695</v>
      </c>
      <c r="D82" s="8" t="s">
        <v>3908</v>
      </c>
      <c r="E82" s="8" t="s">
        <v>9696</v>
      </c>
      <c r="F82">
        <v>13410</v>
      </c>
      <c r="G82" t="s">
        <v>9725</v>
      </c>
      <c r="H82" s="8" t="s">
        <v>9802</v>
      </c>
      <c r="I82" t="s">
        <v>9771</v>
      </c>
      <c r="J82" t="s">
        <v>9783</v>
      </c>
      <c r="K82" s="12" t="s">
        <v>9693</v>
      </c>
      <c r="L82" s="12" t="s">
        <v>9693</v>
      </c>
      <c r="M82" s="12" t="s">
        <v>9693</v>
      </c>
      <c r="N82" s="12" t="s">
        <v>9693</v>
      </c>
      <c r="O82" s="12">
        <v>10.199999999999999</v>
      </c>
      <c r="P82" s="12">
        <v>21.7</v>
      </c>
      <c r="Q82" s="12">
        <v>85</v>
      </c>
      <c r="R82" s="12">
        <v>72</v>
      </c>
      <c r="S82" s="12">
        <f t="shared" si="1"/>
        <v>13</v>
      </c>
      <c r="T82" s="12">
        <v>82</v>
      </c>
      <c r="V82" s="8" t="s">
        <v>9857</v>
      </c>
      <c r="W82" s="11" t="s">
        <v>9885</v>
      </c>
    </row>
    <row r="83" spans="2:23" x14ac:dyDescent="0.2">
      <c r="B83" t="s">
        <v>9695</v>
      </c>
      <c r="D83" s="8" t="s">
        <v>3908</v>
      </c>
      <c r="E83" s="8" t="s">
        <v>9696</v>
      </c>
      <c r="F83">
        <v>13415</v>
      </c>
      <c r="G83" t="s">
        <v>9726</v>
      </c>
      <c r="H83" s="8" t="s">
        <v>9800</v>
      </c>
      <c r="I83" t="s">
        <v>9770</v>
      </c>
      <c r="J83" t="s">
        <v>9783</v>
      </c>
      <c r="K83" s="12">
        <v>17</v>
      </c>
      <c r="L83" s="12">
        <v>9.1</v>
      </c>
      <c r="M83" s="12">
        <v>4.2</v>
      </c>
      <c r="N83" s="12">
        <v>4.4000000000000004</v>
      </c>
      <c r="O83" s="12">
        <v>9.9</v>
      </c>
      <c r="P83" s="12">
        <v>21.3</v>
      </c>
      <c r="Q83" s="12" t="s">
        <v>9693</v>
      </c>
      <c r="R83" s="12" t="s">
        <v>9693</v>
      </c>
      <c r="S83" s="12" t="s">
        <v>9693</v>
      </c>
      <c r="T83" s="12">
        <v>75</v>
      </c>
      <c r="V83" s="8" t="s">
        <v>9856</v>
      </c>
      <c r="W83" s="11" t="s">
        <v>9885</v>
      </c>
    </row>
    <row r="84" spans="2:23" x14ac:dyDescent="0.2">
      <c r="B84" t="s">
        <v>9695</v>
      </c>
      <c r="D84" s="8" t="s">
        <v>9877</v>
      </c>
      <c r="E84" s="8" t="s">
        <v>9696</v>
      </c>
      <c r="F84">
        <v>29898</v>
      </c>
      <c r="G84" t="s">
        <v>9712</v>
      </c>
      <c r="H84" s="8" t="s">
        <v>9792</v>
      </c>
      <c r="I84" t="s">
        <v>9764</v>
      </c>
      <c r="J84" t="s">
        <v>9784</v>
      </c>
      <c r="K84" s="12">
        <v>16</v>
      </c>
      <c r="L84" s="12">
        <v>10.4</v>
      </c>
      <c r="M84" s="12">
        <v>4.7</v>
      </c>
      <c r="N84" s="12">
        <v>4.7</v>
      </c>
      <c r="O84" s="12">
        <v>8.6999999999999993</v>
      </c>
      <c r="P84" s="12">
        <v>20.6</v>
      </c>
      <c r="Q84" s="12">
        <v>77</v>
      </c>
      <c r="R84" s="12">
        <v>67</v>
      </c>
      <c r="S84" s="12">
        <f t="shared" si="1"/>
        <v>10</v>
      </c>
      <c r="T84" s="12">
        <v>75</v>
      </c>
      <c r="W84" s="11" t="s">
        <v>9885</v>
      </c>
    </row>
    <row r="85" spans="2:23" x14ac:dyDescent="0.2">
      <c r="B85" t="s">
        <v>9695</v>
      </c>
      <c r="D85" s="8" t="s">
        <v>9877</v>
      </c>
      <c r="E85" s="8" t="s">
        <v>9696</v>
      </c>
      <c r="F85">
        <v>33721</v>
      </c>
      <c r="G85" t="s">
        <v>9729</v>
      </c>
      <c r="H85" s="8" t="s">
        <v>9787</v>
      </c>
      <c r="I85" t="s">
        <v>9766</v>
      </c>
      <c r="J85" t="s">
        <v>9783</v>
      </c>
      <c r="K85" s="12">
        <v>15.8</v>
      </c>
      <c r="L85" s="12">
        <v>9.8000000000000007</v>
      </c>
      <c r="M85" s="12">
        <v>4.0999999999999996</v>
      </c>
      <c r="N85" s="12">
        <v>4.5999999999999996</v>
      </c>
      <c r="O85" s="12">
        <v>10</v>
      </c>
      <c r="P85" s="12">
        <v>20.5</v>
      </c>
      <c r="Q85" s="12">
        <v>77</v>
      </c>
      <c r="R85" s="12">
        <v>65</v>
      </c>
      <c r="S85" s="12">
        <f t="shared" si="1"/>
        <v>12</v>
      </c>
      <c r="T85" s="12">
        <v>74</v>
      </c>
      <c r="W85" s="11" t="s">
        <v>9885</v>
      </c>
    </row>
    <row r="86" spans="2:23" x14ac:dyDescent="0.2">
      <c r="B86" t="s">
        <v>9695</v>
      </c>
      <c r="D86" s="8" t="s">
        <v>9877</v>
      </c>
      <c r="E86" s="8" t="s">
        <v>9696</v>
      </c>
      <c r="F86">
        <v>33720</v>
      </c>
      <c r="G86" t="s">
        <v>9730</v>
      </c>
      <c r="H86" s="8" t="s">
        <v>9794</v>
      </c>
      <c r="I86" t="s">
        <v>9766</v>
      </c>
      <c r="J86" t="s">
        <v>9783</v>
      </c>
      <c r="K86" s="12">
        <v>15.4</v>
      </c>
      <c r="L86" s="12">
        <v>9.3000000000000007</v>
      </c>
      <c r="M86" s="12">
        <v>4.5999999999999996</v>
      </c>
      <c r="N86" s="12">
        <v>4.5999999999999996</v>
      </c>
      <c r="O86" s="12">
        <v>10.3</v>
      </c>
      <c r="P86" s="12">
        <v>19.600000000000001</v>
      </c>
      <c r="Q86" s="12">
        <v>72</v>
      </c>
      <c r="R86" s="12">
        <v>61</v>
      </c>
      <c r="S86" s="12">
        <f t="shared" si="1"/>
        <v>11</v>
      </c>
      <c r="T86" s="12">
        <v>73</v>
      </c>
      <c r="W86" s="11" t="s">
        <v>9885</v>
      </c>
    </row>
    <row r="87" spans="2:23" x14ac:dyDescent="0.2">
      <c r="B87" t="s">
        <v>9695</v>
      </c>
      <c r="D87" s="8" t="s">
        <v>3898</v>
      </c>
      <c r="E87" s="8" t="s">
        <v>9696</v>
      </c>
      <c r="F87">
        <v>13423</v>
      </c>
      <c r="G87" t="s">
        <v>9734</v>
      </c>
      <c r="H87" s="8" t="s">
        <v>9809</v>
      </c>
      <c r="I87" t="s">
        <v>9771</v>
      </c>
      <c r="J87" t="s">
        <v>9783</v>
      </c>
      <c r="K87" s="12">
        <v>17.899999999999999</v>
      </c>
      <c r="L87" s="12">
        <v>10.3</v>
      </c>
      <c r="M87" s="12">
        <v>4.2</v>
      </c>
      <c r="N87" s="12">
        <v>5.7</v>
      </c>
      <c r="O87" s="12">
        <v>10</v>
      </c>
      <c r="P87" s="12">
        <v>22.2</v>
      </c>
      <c r="Q87" s="12">
        <v>80</v>
      </c>
      <c r="R87" s="12">
        <v>70</v>
      </c>
      <c r="S87" s="12">
        <f t="shared" si="1"/>
        <v>10</v>
      </c>
      <c r="T87" s="12">
        <v>85</v>
      </c>
      <c r="W87" s="11" t="s">
        <v>9885</v>
      </c>
    </row>
    <row r="88" spans="2:23" x14ac:dyDescent="0.2">
      <c r="B88" t="s">
        <v>9695</v>
      </c>
      <c r="D88" s="8" t="s">
        <v>9878</v>
      </c>
      <c r="E88" s="8" t="s">
        <v>9696</v>
      </c>
      <c r="F88">
        <v>13434</v>
      </c>
      <c r="G88" t="s">
        <v>9693</v>
      </c>
      <c r="H88" s="8" t="s">
        <v>9811</v>
      </c>
      <c r="I88" t="s">
        <v>9777</v>
      </c>
      <c r="J88" t="s">
        <v>9783</v>
      </c>
      <c r="K88" s="12">
        <v>15.2</v>
      </c>
      <c r="L88" s="12">
        <v>7.7</v>
      </c>
      <c r="M88" s="12">
        <v>4.5999999999999996</v>
      </c>
      <c r="N88" s="12">
        <v>5</v>
      </c>
      <c r="O88" s="12">
        <v>10.5</v>
      </c>
      <c r="P88" s="12">
        <v>16.7</v>
      </c>
      <c r="Q88" s="12">
        <v>85</v>
      </c>
      <c r="R88" s="12">
        <v>68</v>
      </c>
      <c r="S88" s="12">
        <f t="shared" si="1"/>
        <v>17</v>
      </c>
      <c r="T88" s="12">
        <v>83</v>
      </c>
      <c r="W88" s="11" t="s">
        <v>9885</v>
      </c>
    </row>
    <row r="89" spans="2:23" x14ac:dyDescent="0.2">
      <c r="B89" t="s">
        <v>9695</v>
      </c>
      <c r="D89" s="8" t="s">
        <v>9882</v>
      </c>
      <c r="E89" s="8" t="s">
        <v>9696</v>
      </c>
      <c r="F89">
        <v>33724</v>
      </c>
      <c r="G89" s="13">
        <v>24634</v>
      </c>
      <c r="H89" s="8" t="s">
        <v>9794</v>
      </c>
      <c r="I89" t="s">
        <v>9766</v>
      </c>
      <c r="J89" t="s">
        <v>9784</v>
      </c>
      <c r="K89" s="12">
        <v>18</v>
      </c>
      <c r="L89" s="12">
        <v>11.3</v>
      </c>
      <c r="M89" s="12">
        <v>5.2</v>
      </c>
      <c r="N89" s="12">
        <v>5.2</v>
      </c>
      <c r="O89" s="12">
        <v>9.9</v>
      </c>
      <c r="P89" s="12">
        <v>19.399999999999999</v>
      </c>
      <c r="Q89" s="12">
        <v>84</v>
      </c>
      <c r="R89" s="12">
        <v>69</v>
      </c>
      <c r="S89" s="12">
        <f t="shared" si="1"/>
        <v>15</v>
      </c>
      <c r="T89" s="12">
        <v>73</v>
      </c>
      <c r="W89" s="11" t="s">
        <v>9885</v>
      </c>
    </row>
    <row r="90" spans="2:23" x14ac:dyDescent="0.2">
      <c r="B90" t="s">
        <v>9695</v>
      </c>
      <c r="D90" s="8" t="s">
        <v>9879</v>
      </c>
      <c r="E90" s="8" t="s">
        <v>9696</v>
      </c>
      <c r="F90">
        <v>13394</v>
      </c>
      <c r="G90" s="13">
        <v>38779</v>
      </c>
      <c r="H90" s="8" t="s">
        <v>9816</v>
      </c>
      <c r="I90" t="s">
        <v>9776</v>
      </c>
      <c r="J90" t="s">
        <v>9783</v>
      </c>
      <c r="K90" s="12">
        <v>13.9</v>
      </c>
      <c r="L90" s="12">
        <v>8.4</v>
      </c>
      <c r="M90" s="12">
        <v>4.2</v>
      </c>
      <c r="N90" s="12">
        <v>3.9</v>
      </c>
      <c r="O90" s="12">
        <v>8.6999999999999993</v>
      </c>
      <c r="P90" s="12">
        <v>18.2</v>
      </c>
      <c r="Q90" s="12">
        <v>69</v>
      </c>
      <c r="R90" s="12">
        <v>61</v>
      </c>
      <c r="S90" s="12">
        <f t="shared" si="1"/>
        <v>8</v>
      </c>
      <c r="T90" s="12">
        <v>64</v>
      </c>
      <c r="W90" s="11" t="s">
        <v>9885</v>
      </c>
    </row>
    <row r="91" spans="2:23" x14ac:dyDescent="0.2">
      <c r="B91" t="s">
        <v>9695</v>
      </c>
      <c r="D91" s="8" t="s">
        <v>9880</v>
      </c>
      <c r="E91" s="8" t="s">
        <v>9696</v>
      </c>
      <c r="F91">
        <v>13422</v>
      </c>
      <c r="G91" t="s">
        <v>9693</v>
      </c>
      <c r="H91" s="8" t="s">
        <v>9817</v>
      </c>
      <c r="I91" t="s">
        <v>9777</v>
      </c>
      <c r="J91" t="s">
        <v>9783</v>
      </c>
      <c r="K91" s="12">
        <v>13.3</v>
      </c>
      <c r="L91" s="12">
        <v>6.7</v>
      </c>
      <c r="M91" s="12">
        <v>4</v>
      </c>
      <c r="N91" s="12">
        <v>4.0999999999999996</v>
      </c>
      <c r="O91" s="12">
        <v>9.3000000000000007</v>
      </c>
      <c r="P91" s="12">
        <v>15.2</v>
      </c>
      <c r="Q91" s="12">
        <v>73</v>
      </c>
      <c r="R91" s="12">
        <v>62</v>
      </c>
      <c r="S91" s="12">
        <f t="shared" si="1"/>
        <v>11</v>
      </c>
      <c r="T91" s="12">
        <v>72</v>
      </c>
      <c r="W91" s="11" t="s">
        <v>9885</v>
      </c>
    </row>
    <row r="92" spans="2:23" x14ac:dyDescent="0.2">
      <c r="B92" t="s">
        <v>9695</v>
      </c>
      <c r="D92" s="8" t="s">
        <v>3906</v>
      </c>
      <c r="E92" s="8" t="s">
        <v>9696</v>
      </c>
      <c r="F92">
        <v>13430</v>
      </c>
      <c r="G92" t="s">
        <v>9747</v>
      </c>
      <c r="H92" s="8" t="s">
        <v>9825</v>
      </c>
      <c r="I92" t="s">
        <v>9772</v>
      </c>
      <c r="J92" t="s">
        <v>9784</v>
      </c>
      <c r="K92" s="12">
        <v>18</v>
      </c>
      <c r="L92" s="12">
        <v>10.199999999999999</v>
      </c>
      <c r="M92" s="12">
        <v>5</v>
      </c>
      <c r="N92" s="12">
        <v>5.6</v>
      </c>
      <c r="O92" s="12">
        <v>10.1</v>
      </c>
      <c r="P92" s="12">
        <v>21.9</v>
      </c>
      <c r="Q92" s="12">
        <v>82</v>
      </c>
      <c r="R92" s="12">
        <v>72</v>
      </c>
      <c r="S92" s="12">
        <f t="shared" si="1"/>
        <v>10</v>
      </c>
      <c r="T92" s="12">
        <v>77</v>
      </c>
      <c r="W92" s="11" t="s">
        <v>9885</v>
      </c>
    </row>
    <row r="93" spans="2:23" x14ac:dyDescent="0.2">
      <c r="B93" t="s">
        <v>9695</v>
      </c>
      <c r="D93" s="8" t="s">
        <v>9884</v>
      </c>
      <c r="E93" s="8" t="s">
        <v>9696</v>
      </c>
      <c r="F93">
        <v>13421</v>
      </c>
      <c r="G93" t="s">
        <v>9693</v>
      </c>
      <c r="H93" s="8" t="s">
        <v>9791</v>
      </c>
      <c r="I93" t="s">
        <v>9772</v>
      </c>
      <c r="J93" t="s">
        <v>9783</v>
      </c>
      <c r="K93" s="12">
        <v>14.8</v>
      </c>
      <c r="L93" s="12">
        <v>8.1</v>
      </c>
      <c r="M93" s="12">
        <v>3.9</v>
      </c>
      <c r="N93" s="12">
        <v>4.8</v>
      </c>
      <c r="O93" s="12">
        <v>10</v>
      </c>
      <c r="P93" s="12">
        <v>16.2</v>
      </c>
      <c r="Q93" s="12">
        <v>74</v>
      </c>
      <c r="R93" s="12">
        <v>64</v>
      </c>
      <c r="S93" s="12">
        <f t="shared" si="1"/>
        <v>10</v>
      </c>
      <c r="T93" s="12" t="s">
        <v>9693</v>
      </c>
      <c r="V93" s="8" t="s">
        <v>9855</v>
      </c>
      <c r="W93" s="11" t="s">
        <v>9885</v>
      </c>
    </row>
    <row r="94" spans="2:23" x14ac:dyDescent="0.2">
      <c r="B94" t="s">
        <v>9695</v>
      </c>
      <c r="D94" s="8" t="s">
        <v>9704</v>
      </c>
      <c r="E94" s="8" t="s">
        <v>9696</v>
      </c>
      <c r="F94">
        <v>13409</v>
      </c>
      <c r="G94" s="13">
        <v>48130</v>
      </c>
      <c r="H94" s="8" t="s">
        <v>9835</v>
      </c>
      <c r="I94" t="s">
        <v>9770</v>
      </c>
      <c r="J94" t="s">
        <v>9784</v>
      </c>
      <c r="K94" s="12">
        <v>17</v>
      </c>
      <c r="L94" s="12">
        <v>9.9</v>
      </c>
      <c r="M94" s="12">
        <v>4.4000000000000004</v>
      </c>
      <c r="N94" s="12">
        <v>5</v>
      </c>
      <c r="O94" s="12">
        <v>9</v>
      </c>
      <c r="P94" s="12">
        <v>19.899999999999999</v>
      </c>
      <c r="Q94" s="12" t="s">
        <v>9693</v>
      </c>
      <c r="R94" s="12" t="s">
        <v>9693</v>
      </c>
      <c r="S94" s="12" t="s">
        <v>9693</v>
      </c>
      <c r="T94" s="12" t="s">
        <v>9693</v>
      </c>
      <c r="V94" s="14" t="s">
        <v>9858</v>
      </c>
      <c r="W94" s="11" t="s">
        <v>9885</v>
      </c>
    </row>
    <row r="95" spans="2:23" x14ac:dyDescent="0.2">
      <c r="B95" t="s">
        <v>9695</v>
      </c>
      <c r="D95" s="8" t="s">
        <v>9881</v>
      </c>
      <c r="E95" s="8" t="s">
        <v>9696</v>
      </c>
      <c r="F95">
        <v>29810</v>
      </c>
      <c r="G95" t="s">
        <v>9762</v>
      </c>
      <c r="H95" s="8" t="s">
        <v>9785</v>
      </c>
      <c r="I95" t="s">
        <v>9764</v>
      </c>
      <c r="J95" t="s">
        <v>9784</v>
      </c>
      <c r="K95" s="12">
        <v>14.4</v>
      </c>
      <c r="L95" s="12">
        <v>8</v>
      </c>
      <c r="M95" s="12">
        <v>5</v>
      </c>
      <c r="N95" s="12">
        <v>4.4000000000000004</v>
      </c>
      <c r="O95" s="12">
        <v>10.5</v>
      </c>
      <c r="P95" s="12">
        <v>20.3</v>
      </c>
      <c r="Q95" s="12">
        <v>68</v>
      </c>
      <c r="R95" s="12">
        <v>60</v>
      </c>
      <c r="S95" s="12">
        <f t="shared" si="1"/>
        <v>8</v>
      </c>
      <c r="T95" s="12" t="s">
        <v>9693</v>
      </c>
      <c r="V95" s="8" t="s">
        <v>9855</v>
      </c>
      <c r="W95" s="11" t="s">
        <v>9885</v>
      </c>
    </row>
    <row r="96" spans="2:23" x14ac:dyDescent="0.2">
      <c r="B96" t="s">
        <v>9695</v>
      </c>
      <c r="D96" s="8" t="s">
        <v>9881</v>
      </c>
      <c r="E96" s="8" t="s">
        <v>9696</v>
      </c>
      <c r="F96">
        <v>29808</v>
      </c>
      <c r="G96" s="13">
        <v>22253</v>
      </c>
      <c r="H96" s="8" t="s">
        <v>9785</v>
      </c>
      <c r="I96" t="s">
        <v>9764</v>
      </c>
      <c r="J96" t="s">
        <v>9783</v>
      </c>
      <c r="K96" s="12">
        <v>14.2</v>
      </c>
      <c r="L96" s="12">
        <v>8.1</v>
      </c>
      <c r="M96" s="12">
        <v>5.0999999999999996</v>
      </c>
      <c r="N96" s="12">
        <v>4.5</v>
      </c>
      <c r="O96" s="12">
        <v>10.8</v>
      </c>
      <c r="P96" s="12">
        <v>19.8</v>
      </c>
      <c r="Q96" s="12">
        <v>72</v>
      </c>
      <c r="R96" s="12">
        <v>63</v>
      </c>
      <c r="S96" s="12">
        <f t="shared" si="1"/>
        <v>9</v>
      </c>
      <c r="T96" s="12" t="s">
        <v>9693</v>
      </c>
      <c r="V96" s="8" t="s">
        <v>9866</v>
      </c>
      <c r="W96" s="11" t="s">
        <v>9885</v>
      </c>
    </row>
    <row r="97" spans="2:23" x14ac:dyDescent="0.2">
      <c r="B97" t="s">
        <v>9695</v>
      </c>
      <c r="D97" s="8" t="s">
        <v>9706</v>
      </c>
      <c r="E97" s="8" t="s">
        <v>9696</v>
      </c>
      <c r="F97">
        <v>13374</v>
      </c>
      <c r="G97" t="s">
        <v>9763</v>
      </c>
      <c r="H97" s="8" t="s">
        <v>9840</v>
      </c>
      <c r="I97" t="s">
        <v>9781</v>
      </c>
      <c r="J97"/>
      <c r="K97" s="12" t="s">
        <v>9693</v>
      </c>
      <c r="L97" s="12" t="s">
        <v>9693</v>
      </c>
      <c r="M97" s="12">
        <v>6.2</v>
      </c>
      <c r="N97" s="12">
        <v>6.9</v>
      </c>
      <c r="O97" s="12">
        <v>13.7</v>
      </c>
      <c r="P97" s="12">
        <v>25.2</v>
      </c>
      <c r="Q97" s="12">
        <v>119</v>
      </c>
      <c r="R97" s="12">
        <v>104</v>
      </c>
      <c r="S97" s="12">
        <f t="shared" si="1"/>
        <v>15</v>
      </c>
      <c r="T97" s="12">
        <v>110</v>
      </c>
      <c r="V97" s="8" t="s">
        <v>9853</v>
      </c>
      <c r="W97" s="11" t="s">
        <v>9885</v>
      </c>
    </row>
    <row r="98" spans="2:23" x14ac:dyDescent="0.2">
      <c r="B98" t="s">
        <v>9695</v>
      </c>
      <c r="D98" s="8" t="s">
        <v>9706</v>
      </c>
      <c r="E98" s="8" t="s">
        <v>9696</v>
      </c>
      <c r="F98">
        <v>13373</v>
      </c>
      <c r="G98" t="s">
        <v>9693</v>
      </c>
      <c r="H98" s="8" t="s">
        <v>9841</v>
      </c>
      <c r="I98" t="s">
        <v>9782</v>
      </c>
      <c r="J98"/>
      <c r="K98" s="12">
        <v>23.6</v>
      </c>
      <c r="L98" s="12">
        <v>12.3</v>
      </c>
      <c r="M98" s="12">
        <v>5.8</v>
      </c>
      <c r="N98" s="12">
        <v>7.7</v>
      </c>
      <c r="O98" s="12">
        <v>13.9</v>
      </c>
      <c r="P98" s="12">
        <v>26.4</v>
      </c>
      <c r="Q98" s="12">
        <v>111</v>
      </c>
      <c r="R98" s="12">
        <v>98</v>
      </c>
      <c r="S98" s="12">
        <f t="shared" si="1"/>
        <v>13</v>
      </c>
      <c r="T98" s="12">
        <v>101</v>
      </c>
      <c r="V98" s="8" t="s">
        <v>9854</v>
      </c>
      <c r="W98" s="11" t="s">
        <v>9885</v>
      </c>
    </row>
    <row r="99" spans="2:23" x14ac:dyDescent="0.2">
      <c r="B99" t="s">
        <v>9695</v>
      </c>
      <c r="D99" s="8" t="s">
        <v>3965</v>
      </c>
      <c r="E99" s="8" t="s">
        <v>9696</v>
      </c>
      <c r="F99">
        <v>13435</v>
      </c>
      <c r="G99" t="s">
        <v>9746</v>
      </c>
      <c r="H99" s="8" t="s">
        <v>9824</v>
      </c>
      <c r="I99" t="s">
        <v>9776</v>
      </c>
      <c r="J99" t="s">
        <v>9784</v>
      </c>
      <c r="K99" s="12">
        <v>23</v>
      </c>
      <c r="L99" s="12">
        <v>14.3</v>
      </c>
      <c r="M99" s="12">
        <v>4.9000000000000004</v>
      </c>
      <c r="N99" s="12">
        <v>5.8</v>
      </c>
      <c r="O99" s="12">
        <v>12</v>
      </c>
      <c r="P99" s="12">
        <v>28</v>
      </c>
      <c r="Q99" s="12">
        <v>102</v>
      </c>
      <c r="R99" s="12">
        <v>93</v>
      </c>
      <c r="S99" s="12">
        <f t="shared" si="1"/>
        <v>9</v>
      </c>
      <c r="T99" s="12">
        <v>96</v>
      </c>
      <c r="W99" s="11" t="s">
        <v>9885</v>
      </c>
    </row>
    <row r="100" spans="2:23" x14ac:dyDescent="0.2">
      <c r="B100" t="s">
        <v>9695</v>
      </c>
      <c r="D100" s="8" t="s">
        <v>9883</v>
      </c>
      <c r="E100" s="8" t="s">
        <v>9696</v>
      </c>
      <c r="F100">
        <v>13370</v>
      </c>
      <c r="G100" s="13">
        <v>45969</v>
      </c>
      <c r="H100" s="8" t="s">
        <v>9789</v>
      </c>
      <c r="I100" t="s">
        <v>9767</v>
      </c>
      <c r="J100" t="s">
        <v>9783</v>
      </c>
      <c r="K100" s="12">
        <v>24</v>
      </c>
      <c r="L100" s="12">
        <v>15.1</v>
      </c>
      <c r="M100" s="12">
        <v>6.1</v>
      </c>
      <c r="N100" s="12">
        <v>7.2</v>
      </c>
      <c r="O100" s="12">
        <v>13.2</v>
      </c>
      <c r="P100" s="12">
        <v>23.7</v>
      </c>
      <c r="Q100" s="12">
        <v>110</v>
      </c>
      <c r="R100" s="12" t="s">
        <v>9693</v>
      </c>
      <c r="S100" s="12" t="s">
        <v>9693</v>
      </c>
      <c r="T100" s="12">
        <v>90</v>
      </c>
      <c r="V100" t="s">
        <v>9869</v>
      </c>
      <c r="W100" s="11" t="s">
        <v>9885</v>
      </c>
    </row>
    <row r="101" spans="2:23" x14ac:dyDescent="0.2">
      <c r="B101" t="s">
        <v>9695</v>
      </c>
      <c r="D101" s="8" t="s">
        <v>4021</v>
      </c>
      <c r="E101" s="8" t="s">
        <v>9696</v>
      </c>
      <c r="F101">
        <v>29907</v>
      </c>
      <c r="G101" t="s">
        <v>9712</v>
      </c>
      <c r="H101" s="8" t="s">
        <v>9792</v>
      </c>
      <c r="I101" t="s">
        <v>9764</v>
      </c>
      <c r="J101" t="s">
        <v>9784</v>
      </c>
      <c r="K101" s="12">
        <v>21.5</v>
      </c>
      <c r="L101" s="12">
        <v>12.8</v>
      </c>
      <c r="M101" s="12">
        <v>6.4</v>
      </c>
      <c r="N101" s="12">
        <v>6.1</v>
      </c>
      <c r="O101" s="12">
        <v>11.5</v>
      </c>
      <c r="P101" s="12">
        <v>21.7</v>
      </c>
      <c r="Q101" s="12">
        <v>87</v>
      </c>
      <c r="R101" s="12">
        <v>77</v>
      </c>
      <c r="S101" s="12">
        <f t="shared" si="1"/>
        <v>10</v>
      </c>
      <c r="T101" s="12">
        <v>79</v>
      </c>
      <c r="W101" s="11" t="s">
        <v>9885</v>
      </c>
    </row>
    <row r="102" spans="2:23" x14ac:dyDescent="0.2">
      <c r="B102" t="s">
        <v>9695</v>
      </c>
      <c r="D102" s="8" t="s">
        <v>4021</v>
      </c>
      <c r="E102" s="8" t="s">
        <v>9696</v>
      </c>
      <c r="F102">
        <v>29925</v>
      </c>
      <c r="G102" s="13">
        <v>22169</v>
      </c>
      <c r="H102" s="8" t="s">
        <v>9804</v>
      </c>
      <c r="I102" t="s">
        <v>9764</v>
      </c>
      <c r="J102" t="s">
        <v>9783</v>
      </c>
      <c r="K102" s="12">
        <v>23.3</v>
      </c>
      <c r="L102" s="12">
        <v>14.4</v>
      </c>
      <c r="M102" s="12">
        <v>7.1</v>
      </c>
      <c r="N102" s="12">
        <v>6.9</v>
      </c>
      <c r="O102" s="12">
        <v>11.3</v>
      </c>
      <c r="P102" s="12">
        <v>24.3</v>
      </c>
      <c r="Q102" s="12">
        <v>93</v>
      </c>
      <c r="R102" s="12">
        <v>81</v>
      </c>
      <c r="S102" s="12">
        <f t="shared" si="1"/>
        <v>12</v>
      </c>
      <c r="T102" s="12" t="s">
        <v>9693</v>
      </c>
      <c r="V102" s="8" t="s">
        <v>9855</v>
      </c>
      <c r="W102" s="11" t="s">
        <v>9885</v>
      </c>
    </row>
    <row r="103" spans="2:23" x14ac:dyDescent="0.2">
      <c r="B103" t="s">
        <v>9695</v>
      </c>
      <c r="D103" s="8" t="s">
        <v>4023</v>
      </c>
      <c r="E103" s="8" t="s">
        <v>9696</v>
      </c>
      <c r="F103">
        <v>29964</v>
      </c>
      <c r="G103" t="s">
        <v>9741</v>
      </c>
      <c r="H103" s="8" t="s">
        <v>9820</v>
      </c>
      <c r="I103" t="s">
        <v>9764</v>
      </c>
      <c r="J103" t="s">
        <v>9784</v>
      </c>
      <c r="K103" s="12">
        <v>17.8</v>
      </c>
      <c r="L103" s="12">
        <v>11</v>
      </c>
      <c r="M103" s="12">
        <v>5.2</v>
      </c>
      <c r="N103" s="12">
        <v>4.8</v>
      </c>
      <c r="O103" s="12">
        <v>10.8</v>
      </c>
      <c r="P103" s="12">
        <v>21.4</v>
      </c>
      <c r="Q103" s="12">
        <v>81</v>
      </c>
      <c r="R103" s="12">
        <v>69</v>
      </c>
      <c r="S103" s="12">
        <f t="shared" si="1"/>
        <v>12</v>
      </c>
      <c r="T103" s="12">
        <v>76</v>
      </c>
      <c r="W103" s="11" t="s">
        <v>9885</v>
      </c>
    </row>
    <row r="104" spans="2:23" x14ac:dyDescent="0.2">
      <c r="B104" t="s">
        <v>9695</v>
      </c>
      <c r="D104" s="8" t="s">
        <v>4023</v>
      </c>
      <c r="E104" s="8" t="s">
        <v>9696</v>
      </c>
      <c r="F104">
        <v>29909</v>
      </c>
      <c r="G104" t="s">
        <v>9728</v>
      </c>
      <c r="H104" s="8" t="s">
        <v>9792</v>
      </c>
      <c r="I104" t="s">
        <v>9764</v>
      </c>
      <c r="J104" t="s">
        <v>9783</v>
      </c>
      <c r="K104" s="12">
        <v>18.2</v>
      </c>
      <c r="L104" s="12">
        <v>11.1</v>
      </c>
      <c r="M104" s="12">
        <v>5.7</v>
      </c>
      <c r="N104" s="12">
        <v>5.0999999999999996</v>
      </c>
      <c r="O104" s="12">
        <v>10.199999999999999</v>
      </c>
      <c r="P104" s="12">
        <v>21.7</v>
      </c>
      <c r="Q104" s="12">
        <v>84</v>
      </c>
      <c r="R104" s="12">
        <v>73</v>
      </c>
      <c r="S104" s="12">
        <f t="shared" si="1"/>
        <v>11</v>
      </c>
      <c r="T104" s="12">
        <v>77</v>
      </c>
      <c r="W104" s="11" t="s">
        <v>9885</v>
      </c>
    </row>
    <row r="105" spans="2:23" x14ac:dyDescent="0.2">
      <c r="B105" t="s">
        <v>9695</v>
      </c>
      <c r="D105" s="8" t="s">
        <v>4023</v>
      </c>
      <c r="E105" s="8" t="s">
        <v>9696</v>
      </c>
      <c r="F105">
        <v>29947</v>
      </c>
      <c r="G105" t="s">
        <v>9750</v>
      </c>
      <c r="H105" s="8" t="s">
        <v>9799</v>
      </c>
      <c r="I105" t="s">
        <v>9764</v>
      </c>
      <c r="J105" t="s">
        <v>9783</v>
      </c>
      <c r="K105" s="12">
        <v>20</v>
      </c>
      <c r="L105" s="12">
        <v>12.4</v>
      </c>
      <c r="M105" s="12">
        <v>5.2</v>
      </c>
      <c r="N105" s="12">
        <v>5.2</v>
      </c>
      <c r="O105" s="12">
        <v>10</v>
      </c>
      <c r="P105" s="12">
        <v>22.8</v>
      </c>
      <c r="Q105" s="12">
        <v>85</v>
      </c>
      <c r="R105" s="12">
        <v>74</v>
      </c>
      <c r="S105" s="12">
        <f t="shared" si="1"/>
        <v>11</v>
      </c>
      <c r="T105" s="12">
        <v>79</v>
      </c>
      <c r="W105" s="11" t="s">
        <v>9885</v>
      </c>
    </row>
    <row r="106" spans="2:23" x14ac:dyDescent="0.2">
      <c r="B106" t="s">
        <v>9695</v>
      </c>
      <c r="D106" s="8" t="s">
        <v>4031</v>
      </c>
      <c r="E106" s="8" t="s">
        <v>9696</v>
      </c>
      <c r="F106">
        <v>13364</v>
      </c>
      <c r="G106" t="s">
        <v>9754</v>
      </c>
      <c r="H106" s="8" t="s">
        <v>9833</v>
      </c>
      <c r="I106" t="s">
        <v>9780</v>
      </c>
      <c r="J106" t="s">
        <v>9783</v>
      </c>
      <c r="K106" s="12">
        <v>21.5</v>
      </c>
      <c r="L106" s="12">
        <v>13</v>
      </c>
      <c r="M106" s="12">
        <v>5.5</v>
      </c>
      <c r="N106" s="12">
        <v>7.2</v>
      </c>
      <c r="O106" s="12">
        <v>12.6</v>
      </c>
      <c r="P106" s="12">
        <v>21.4</v>
      </c>
      <c r="Q106" s="12">
        <v>109</v>
      </c>
      <c r="R106" s="12">
        <v>89</v>
      </c>
      <c r="S106" s="12">
        <f t="shared" si="1"/>
        <v>20</v>
      </c>
      <c r="T106" s="12">
        <v>103</v>
      </c>
      <c r="W106" s="11" t="s">
        <v>9885</v>
      </c>
    </row>
    <row r="107" spans="2:23" x14ac:dyDescent="0.2">
      <c r="B107" t="s">
        <v>9695</v>
      </c>
      <c r="D107" s="8" t="s">
        <v>4031</v>
      </c>
      <c r="E107" s="8" t="s">
        <v>9696</v>
      </c>
      <c r="F107">
        <v>13365</v>
      </c>
      <c r="G107" t="s">
        <v>9754</v>
      </c>
      <c r="H107" s="8" t="s">
        <v>9833</v>
      </c>
      <c r="I107" t="s">
        <v>9780</v>
      </c>
      <c r="J107" t="s">
        <v>9784</v>
      </c>
      <c r="K107" s="12">
        <v>21</v>
      </c>
      <c r="L107" s="12">
        <v>13.3</v>
      </c>
      <c r="M107" s="12">
        <v>6</v>
      </c>
      <c r="N107" s="12">
        <v>7.1</v>
      </c>
      <c r="O107" s="12">
        <v>13.2</v>
      </c>
      <c r="P107" s="12">
        <v>21.7</v>
      </c>
      <c r="Q107" s="12">
        <v>112</v>
      </c>
      <c r="R107" s="12">
        <v>90</v>
      </c>
      <c r="S107" s="12">
        <f t="shared" si="1"/>
        <v>22</v>
      </c>
      <c r="T107" s="12">
        <v>100</v>
      </c>
      <c r="W107" s="11" t="s">
        <v>9885</v>
      </c>
    </row>
    <row r="108" spans="2:23" x14ac:dyDescent="0.2">
      <c r="B108" t="s">
        <v>9695</v>
      </c>
      <c r="D108" s="8" t="s">
        <v>3876</v>
      </c>
      <c r="E108" s="8" t="s">
        <v>9696</v>
      </c>
      <c r="F108">
        <v>13402</v>
      </c>
      <c r="G108" t="s">
        <v>9727</v>
      </c>
      <c r="H108" s="8" t="s">
        <v>9803</v>
      </c>
      <c r="I108" t="s">
        <v>9772</v>
      </c>
      <c r="J108" t="s">
        <v>9783</v>
      </c>
      <c r="K108" s="12">
        <v>18.5</v>
      </c>
      <c r="L108" s="12">
        <v>10.199999999999999</v>
      </c>
      <c r="M108" s="12">
        <v>5.0999999999999996</v>
      </c>
      <c r="N108" s="12">
        <v>5.5</v>
      </c>
      <c r="O108" s="12">
        <v>10</v>
      </c>
      <c r="P108" s="12">
        <v>21.4</v>
      </c>
      <c r="Q108" s="12">
        <v>90</v>
      </c>
      <c r="R108" s="12">
        <v>79</v>
      </c>
      <c r="S108" s="12">
        <f t="shared" si="1"/>
        <v>11</v>
      </c>
      <c r="T108" s="12">
        <v>76</v>
      </c>
      <c r="W108" s="11" t="s">
        <v>9885</v>
      </c>
    </row>
    <row r="109" spans="2:23" x14ac:dyDescent="0.2">
      <c r="B109" t="s">
        <v>9695</v>
      </c>
      <c r="D109" s="8" t="s">
        <v>9700</v>
      </c>
      <c r="E109" s="8" t="s">
        <v>9696</v>
      </c>
      <c r="F109">
        <v>13408</v>
      </c>
      <c r="G109" s="13">
        <v>45698</v>
      </c>
      <c r="H109" s="8" t="s">
        <v>9789</v>
      </c>
      <c r="I109" t="s">
        <v>9767</v>
      </c>
      <c r="J109" t="s">
        <v>9783</v>
      </c>
      <c r="K109" s="12">
        <v>20</v>
      </c>
      <c r="L109" s="12">
        <v>11</v>
      </c>
      <c r="M109" s="12">
        <v>5.7</v>
      </c>
      <c r="N109" s="12">
        <v>5.6</v>
      </c>
      <c r="O109" s="12">
        <v>9.3000000000000007</v>
      </c>
      <c r="P109" s="12">
        <v>21.5</v>
      </c>
      <c r="Q109" s="12">
        <v>82</v>
      </c>
      <c r="R109" s="12">
        <v>70</v>
      </c>
      <c r="S109" s="12">
        <f t="shared" si="1"/>
        <v>12</v>
      </c>
      <c r="T109" s="12">
        <v>72</v>
      </c>
      <c r="W109" s="11" t="s">
        <v>9885</v>
      </c>
    </row>
    <row r="110" spans="2:23" x14ac:dyDescent="0.2">
      <c r="B110" t="s">
        <v>9695</v>
      </c>
      <c r="D110" s="8" t="s">
        <v>3864</v>
      </c>
      <c r="E110" s="8" t="s">
        <v>9696</v>
      </c>
      <c r="F110">
        <v>13433</v>
      </c>
      <c r="G110" t="s">
        <v>9693</v>
      </c>
      <c r="H110" s="8" t="s">
        <v>9805</v>
      </c>
      <c r="I110" s="16" t="s">
        <v>9693</v>
      </c>
      <c r="J110"/>
      <c r="K110" s="12">
        <v>16.100000000000001</v>
      </c>
      <c r="L110" s="12">
        <v>9.1</v>
      </c>
      <c r="M110" s="12">
        <v>4</v>
      </c>
      <c r="N110" s="12" t="s">
        <v>9693</v>
      </c>
      <c r="O110" s="12">
        <v>10</v>
      </c>
      <c r="P110" s="12">
        <v>20.3</v>
      </c>
      <c r="Q110" s="12">
        <v>78</v>
      </c>
      <c r="R110" s="12">
        <v>67</v>
      </c>
      <c r="S110" s="12">
        <f t="shared" si="1"/>
        <v>11</v>
      </c>
      <c r="T110" s="12">
        <v>81</v>
      </c>
      <c r="U110" s="8" t="s">
        <v>9886</v>
      </c>
      <c r="V110" s="8" t="s">
        <v>9872</v>
      </c>
      <c r="W110" s="11" t="s">
        <v>9885</v>
      </c>
    </row>
    <row r="111" spans="2:23" x14ac:dyDescent="0.2">
      <c r="B111" t="s">
        <v>9695</v>
      </c>
      <c r="D111" s="8" t="s">
        <v>3864</v>
      </c>
      <c r="E111" s="8" t="s">
        <v>9696</v>
      </c>
      <c r="F111">
        <v>13432</v>
      </c>
      <c r="G111" t="s">
        <v>9731</v>
      </c>
      <c r="H111" s="8" t="s">
        <v>9806</v>
      </c>
      <c r="I111" t="s">
        <v>9773</v>
      </c>
      <c r="J111" t="s">
        <v>9783</v>
      </c>
      <c r="K111" s="12">
        <v>18.2</v>
      </c>
      <c r="L111" s="12">
        <v>10.1</v>
      </c>
      <c r="M111" s="12">
        <v>5.0999999999999996</v>
      </c>
      <c r="N111" s="12">
        <v>4.8</v>
      </c>
      <c r="O111" s="12">
        <v>9.1999999999999993</v>
      </c>
      <c r="P111" s="12">
        <v>22.8</v>
      </c>
      <c r="Q111" s="12">
        <v>84</v>
      </c>
      <c r="R111" s="12">
        <v>72</v>
      </c>
      <c r="S111" s="12">
        <f t="shared" si="1"/>
        <v>12</v>
      </c>
      <c r="T111" s="12">
        <v>86</v>
      </c>
      <c r="U111" s="8" t="s">
        <v>9886</v>
      </c>
      <c r="W111" s="11" t="s">
        <v>9885</v>
      </c>
    </row>
    <row r="112" spans="2:23" x14ac:dyDescent="0.2">
      <c r="B112" t="s">
        <v>9695</v>
      </c>
      <c r="D112" s="8" t="s">
        <v>3864</v>
      </c>
      <c r="E112" s="8" t="s">
        <v>9696</v>
      </c>
      <c r="F112">
        <v>13431</v>
      </c>
      <c r="G112" t="s">
        <v>9731</v>
      </c>
      <c r="H112" s="8" t="s">
        <v>9806</v>
      </c>
      <c r="I112" t="s">
        <v>9773</v>
      </c>
      <c r="J112" t="s">
        <v>9784</v>
      </c>
      <c r="K112" s="12">
        <v>17.2</v>
      </c>
      <c r="L112" s="12">
        <v>9.6999999999999993</v>
      </c>
      <c r="M112" s="12">
        <v>5.3</v>
      </c>
      <c r="N112" s="12">
        <v>4.7</v>
      </c>
      <c r="O112" s="12">
        <v>10.4</v>
      </c>
      <c r="P112" s="12">
        <v>22</v>
      </c>
      <c r="Q112" s="12">
        <v>85</v>
      </c>
      <c r="R112" s="12">
        <v>71</v>
      </c>
      <c r="S112" s="12">
        <f t="shared" si="1"/>
        <v>14</v>
      </c>
      <c r="T112" s="12">
        <v>87</v>
      </c>
      <c r="U112" s="8" t="s">
        <v>9886</v>
      </c>
      <c r="W112" s="11" t="s">
        <v>9885</v>
      </c>
    </row>
    <row r="113" spans="2:23" x14ac:dyDescent="0.2">
      <c r="B113" t="s">
        <v>9695</v>
      </c>
      <c r="D113" s="8" t="s">
        <v>9701</v>
      </c>
      <c r="E113" s="8" t="s">
        <v>9696</v>
      </c>
      <c r="F113">
        <v>13416</v>
      </c>
      <c r="G113" t="s">
        <v>9693</v>
      </c>
      <c r="H113" s="8" t="s">
        <v>9812</v>
      </c>
      <c r="I113" t="s">
        <v>9767</v>
      </c>
      <c r="J113" t="s">
        <v>9784</v>
      </c>
      <c r="K113" s="12">
        <v>17.100000000000001</v>
      </c>
      <c r="L113" s="12">
        <v>9.6</v>
      </c>
      <c r="M113" s="12">
        <v>4.5999999999999996</v>
      </c>
      <c r="N113" s="12">
        <v>4.5</v>
      </c>
      <c r="O113" s="12">
        <v>8.6</v>
      </c>
      <c r="P113" s="12">
        <v>20.8</v>
      </c>
      <c r="Q113" s="12">
        <v>80</v>
      </c>
      <c r="R113" s="12">
        <v>70</v>
      </c>
      <c r="S113" s="12">
        <f t="shared" si="1"/>
        <v>10</v>
      </c>
      <c r="T113" s="12" t="s">
        <v>9693</v>
      </c>
      <c r="V113" s="8" t="s">
        <v>9870</v>
      </c>
      <c r="W113" s="11" t="s">
        <v>9885</v>
      </c>
    </row>
    <row r="114" spans="2:23" x14ac:dyDescent="0.2">
      <c r="B114" t="s">
        <v>9695</v>
      </c>
      <c r="D114" s="8" t="s">
        <v>9701</v>
      </c>
      <c r="E114" s="8" t="s">
        <v>9696</v>
      </c>
      <c r="F114">
        <v>13417</v>
      </c>
      <c r="G114" t="s">
        <v>9737</v>
      </c>
      <c r="H114" s="8" t="s">
        <v>9813</v>
      </c>
      <c r="I114" t="s">
        <v>9767</v>
      </c>
      <c r="J114" t="s">
        <v>9783</v>
      </c>
      <c r="K114" s="12">
        <v>16.3</v>
      </c>
      <c r="L114" s="12">
        <v>9.5</v>
      </c>
      <c r="M114" s="12">
        <v>4.2</v>
      </c>
      <c r="N114" s="12">
        <v>4.4000000000000004</v>
      </c>
      <c r="O114" s="12">
        <v>9.6</v>
      </c>
      <c r="P114" s="12">
        <v>21.2</v>
      </c>
      <c r="Q114" s="12">
        <v>79</v>
      </c>
      <c r="R114" s="12">
        <v>70</v>
      </c>
      <c r="S114" s="12">
        <f t="shared" si="1"/>
        <v>9</v>
      </c>
      <c r="T114" s="12">
        <v>80</v>
      </c>
      <c r="W114" s="11" t="s">
        <v>9885</v>
      </c>
    </row>
    <row r="115" spans="2:23" x14ac:dyDescent="0.2">
      <c r="B115" t="s">
        <v>9695</v>
      </c>
      <c r="D115" s="8" t="s">
        <v>9701</v>
      </c>
      <c r="E115" s="8" t="s">
        <v>9696</v>
      </c>
      <c r="F115">
        <v>13420</v>
      </c>
      <c r="G115" t="s">
        <v>9738</v>
      </c>
      <c r="H115" s="8" t="s">
        <v>9814</v>
      </c>
      <c r="I115" t="s">
        <v>9770</v>
      </c>
      <c r="J115" t="s">
        <v>9784</v>
      </c>
      <c r="K115" s="12">
        <v>17.399999999999999</v>
      </c>
      <c r="L115" s="12">
        <v>9.8000000000000007</v>
      </c>
      <c r="M115" s="12">
        <v>5.0999999999999996</v>
      </c>
      <c r="N115" s="12">
        <v>4.5999999999999996</v>
      </c>
      <c r="O115" s="12">
        <v>9.5</v>
      </c>
      <c r="P115" s="12">
        <v>21.8</v>
      </c>
      <c r="Q115" s="12">
        <v>85</v>
      </c>
      <c r="R115" s="12">
        <v>73</v>
      </c>
      <c r="S115" s="12">
        <f t="shared" si="1"/>
        <v>12</v>
      </c>
      <c r="T115" s="12">
        <v>78</v>
      </c>
      <c r="W115" s="11" t="s">
        <v>9885</v>
      </c>
    </row>
    <row r="116" spans="2:23" x14ac:dyDescent="0.2">
      <c r="B116" t="s">
        <v>9695</v>
      </c>
      <c r="D116" s="8" t="s">
        <v>9701</v>
      </c>
      <c r="E116" s="8" t="s">
        <v>9696</v>
      </c>
      <c r="F116">
        <v>13419</v>
      </c>
      <c r="G116" t="s">
        <v>9738</v>
      </c>
      <c r="H116" s="8" t="s">
        <v>9814</v>
      </c>
      <c r="I116" t="s">
        <v>9770</v>
      </c>
      <c r="J116" t="s">
        <v>9784</v>
      </c>
      <c r="K116" s="12">
        <v>18.8</v>
      </c>
      <c r="L116" s="12">
        <v>10.5</v>
      </c>
      <c r="M116" s="12">
        <v>5.4</v>
      </c>
      <c r="N116" s="12">
        <v>4.8</v>
      </c>
      <c r="O116" s="12">
        <v>10.1</v>
      </c>
      <c r="P116" s="12">
        <v>22.3</v>
      </c>
      <c r="Q116" s="12">
        <v>85</v>
      </c>
      <c r="R116" s="12">
        <v>74</v>
      </c>
      <c r="S116" s="12">
        <f t="shared" si="1"/>
        <v>11</v>
      </c>
      <c r="T116" s="12">
        <v>78</v>
      </c>
      <c r="W116" s="11" t="s">
        <v>9885</v>
      </c>
    </row>
    <row r="117" spans="2:23" x14ac:dyDescent="0.2">
      <c r="B117" t="s">
        <v>9695</v>
      </c>
      <c r="D117" s="8" t="s">
        <v>9701</v>
      </c>
      <c r="E117" s="8" t="s">
        <v>9696</v>
      </c>
      <c r="F117">
        <v>13418</v>
      </c>
      <c r="G117" s="13">
        <v>43285</v>
      </c>
      <c r="H117" s="8" t="s">
        <v>9815</v>
      </c>
      <c r="I117" t="s">
        <v>9777</v>
      </c>
      <c r="J117" t="s">
        <v>9783</v>
      </c>
      <c r="K117" s="12">
        <v>16.399999999999999</v>
      </c>
      <c r="L117" s="12">
        <v>8.6999999999999993</v>
      </c>
      <c r="M117" s="12">
        <v>5.6</v>
      </c>
      <c r="N117" s="12">
        <v>4.8</v>
      </c>
      <c r="O117" s="12">
        <v>10.199999999999999</v>
      </c>
      <c r="P117" s="12">
        <v>22.2</v>
      </c>
      <c r="Q117" s="12">
        <v>87</v>
      </c>
      <c r="R117" s="12">
        <v>75</v>
      </c>
      <c r="S117" s="12">
        <f t="shared" si="1"/>
        <v>12</v>
      </c>
      <c r="T117" s="12">
        <v>78</v>
      </c>
      <c r="V117" s="8" t="s">
        <v>9871</v>
      </c>
      <c r="W117" s="11" t="s">
        <v>9885</v>
      </c>
    </row>
    <row r="118" spans="2:23" x14ac:dyDescent="0.2">
      <c r="B118" t="s">
        <v>9695</v>
      </c>
      <c r="D118" s="8" t="s">
        <v>9703</v>
      </c>
      <c r="E118" s="8" t="s">
        <v>9696</v>
      </c>
      <c r="F118">
        <v>32828</v>
      </c>
      <c r="G118" t="s">
        <v>9751</v>
      </c>
      <c r="H118" s="8" t="s">
        <v>9830</v>
      </c>
      <c r="I118" t="s">
        <v>9779</v>
      </c>
      <c r="J118" t="s">
        <v>9783</v>
      </c>
      <c r="K118" s="12">
        <v>17.5</v>
      </c>
      <c r="L118" s="12">
        <v>10.199999999999999</v>
      </c>
      <c r="M118" s="12">
        <v>4.9000000000000004</v>
      </c>
      <c r="N118" s="12">
        <v>5.0999999999999996</v>
      </c>
      <c r="O118" s="12">
        <v>10</v>
      </c>
      <c r="P118" s="12">
        <v>21.3</v>
      </c>
      <c r="Q118" s="12">
        <v>92</v>
      </c>
      <c r="R118" s="12">
        <v>73</v>
      </c>
      <c r="S118" s="12">
        <f t="shared" ref="S118:S123" si="2">Q118-R118</f>
        <v>19</v>
      </c>
      <c r="T118" s="12">
        <v>79</v>
      </c>
      <c r="W118" s="11" t="s">
        <v>9885</v>
      </c>
    </row>
    <row r="119" spans="2:23" x14ac:dyDescent="0.2">
      <c r="B119" t="s">
        <v>9695</v>
      </c>
      <c r="D119" s="8" t="s">
        <v>9703</v>
      </c>
      <c r="E119" s="8" t="s">
        <v>9696</v>
      </c>
      <c r="F119">
        <v>32831</v>
      </c>
      <c r="G119" s="13">
        <v>24088</v>
      </c>
      <c r="H119" s="8" t="s">
        <v>9830</v>
      </c>
      <c r="I119" t="s">
        <v>9779</v>
      </c>
      <c r="J119" t="s">
        <v>9784</v>
      </c>
      <c r="K119" s="12">
        <v>18.5</v>
      </c>
      <c r="L119" s="12">
        <v>10.3</v>
      </c>
      <c r="M119" s="12">
        <v>4.8</v>
      </c>
      <c r="N119" s="12">
        <v>4.8</v>
      </c>
      <c r="O119" s="12">
        <v>9.5</v>
      </c>
      <c r="P119" s="12">
        <v>22.4</v>
      </c>
      <c r="Q119" s="12">
        <v>88</v>
      </c>
      <c r="R119" s="12">
        <v>73</v>
      </c>
      <c r="S119" s="12">
        <f t="shared" si="2"/>
        <v>15</v>
      </c>
      <c r="T119" s="12" t="s">
        <v>9693</v>
      </c>
      <c r="V119" s="8" t="s">
        <v>9855</v>
      </c>
      <c r="W119" s="11" t="s">
        <v>9885</v>
      </c>
    </row>
    <row r="120" spans="2:23" x14ac:dyDescent="0.2">
      <c r="B120" t="s">
        <v>9695</v>
      </c>
      <c r="D120" s="8" t="s">
        <v>9703</v>
      </c>
      <c r="E120" s="8" t="s">
        <v>9696</v>
      </c>
      <c r="F120">
        <v>32834</v>
      </c>
      <c r="G120" t="s">
        <v>9752</v>
      </c>
      <c r="H120" s="8" t="s">
        <v>9831</v>
      </c>
      <c r="I120" t="s">
        <v>9779</v>
      </c>
      <c r="J120" t="s">
        <v>9784</v>
      </c>
      <c r="K120" s="12">
        <v>18.399999999999999</v>
      </c>
      <c r="L120" s="12">
        <v>10.1</v>
      </c>
      <c r="M120" s="12">
        <v>4.7</v>
      </c>
      <c r="N120" s="12">
        <v>5</v>
      </c>
      <c r="O120" s="12">
        <v>9.3000000000000007</v>
      </c>
      <c r="P120" s="12">
        <v>22.4</v>
      </c>
      <c r="Q120" s="12">
        <v>91</v>
      </c>
      <c r="R120" s="12">
        <v>73</v>
      </c>
      <c r="S120" s="12">
        <f t="shared" si="2"/>
        <v>18</v>
      </c>
      <c r="T120" s="12">
        <v>78</v>
      </c>
      <c r="W120" s="11" t="s">
        <v>9885</v>
      </c>
    </row>
    <row r="121" spans="2:23" x14ac:dyDescent="0.2">
      <c r="B121" t="s">
        <v>9695</v>
      </c>
      <c r="D121" s="8" t="s">
        <v>9703</v>
      </c>
      <c r="E121" s="8" t="s">
        <v>9696</v>
      </c>
      <c r="F121">
        <v>32836</v>
      </c>
      <c r="G121" t="s">
        <v>9753</v>
      </c>
      <c r="H121" s="8" t="s">
        <v>9832</v>
      </c>
      <c r="I121" t="s">
        <v>9779</v>
      </c>
      <c r="J121" t="s">
        <v>9783</v>
      </c>
      <c r="K121" s="12">
        <v>18.7</v>
      </c>
      <c r="L121" s="12">
        <v>10.7</v>
      </c>
      <c r="M121" s="12">
        <v>5.0999999999999996</v>
      </c>
      <c r="N121" s="12" t="s">
        <v>9693</v>
      </c>
      <c r="O121" s="12">
        <v>10.1</v>
      </c>
      <c r="P121" s="12">
        <v>22.2</v>
      </c>
      <c r="Q121" s="12">
        <v>95</v>
      </c>
      <c r="R121" s="12">
        <v>78</v>
      </c>
      <c r="S121" s="12">
        <f t="shared" si="2"/>
        <v>17</v>
      </c>
      <c r="T121" s="12">
        <v>82</v>
      </c>
      <c r="W121" s="11" t="s">
        <v>9885</v>
      </c>
    </row>
    <row r="122" spans="2:23" x14ac:dyDescent="0.2">
      <c r="B122" t="s">
        <v>9695</v>
      </c>
      <c r="D122" s="8" t="s">
        <v>3902</v>
      </c>
      <c r="E122" s="8" t="s">
        <v>9696</v>
      </c>
      <c r="F122">
        <v>13436</v>
      </c>
      <c r="G122" t="s">
        <v>9755</v>
      </c>
      <c r="H122" s="8" t="s">
        <v>9834</v>
      </c>
      <c r="I122" t="s">
        <v>9772</v>
      </c>
      <c r="J122" t="s">
        <v>9783</v>
      </c>
      <c r="K122" s="12">
        <v>16.3</v>
      </c>
      <c r="L122" s="12">
        <v>8.9</v>
      </c>
      <c r="M122" s="12">
        <v>5.5</v>
      </c>
      <c r="N122" s="12">
        <v>4.8</v>
      </c>
      <c r="O122" s="12">
        <v>9.6999999999999993</v>
      </c>
      <c r="P122" s="12">
        <v>22.2</v>
      </c>
      <c r="Q122" s="12">
        <v>83</v>
      </c>
      <c r="R122" s="12">
        <v>71</v>
      </c>
      <c r="S122" s="12">
        <f t="shared" si="2"/>
        <v>12</v>
      </c>
      <c r="T122" s="12">
        <v>84</v>
      </c>
      <c r="W122" s="11" t="s">
        <v>9885</v>
      </c>
    </row>
    <row r="123" spans="2:23" x14ac:dyDescent="0.2">
      <c r="B123" t="s">
        <v>9695</v>
      </c>
      <c r="D123" s="8" t="s">
        <v>9887</v>
      </c>
      <c r="E123" s="8" t="s">
        <v>9696</v>
      </c>
      <c r="F123">
        <v>13372</v>
      </c>
      <c r="G123" t="s">
        <v>9693</v>
      </c>
      <c r="H123" s="8" t="s">
        <v>9839</v>
      </c>
      <c r="I123" t="s">
        <v>9777</v>
      </c>
      <c r="J123" t="s">
        <v>9783</v>
      </c>
      <c r="K123" s="12">
        <v>18.899999999999999</v>
      </c>
      <c r="L123" s="12">
        <v>9.6999999999999993</v>
      </c>
      <c r="M123" s="12">
        <v>5.0999999999999996</v>
      </c>
      <c r="N123" s="12">
        <v>5.0999999999999996</v>
      </c>
      <c r="O123" s="12">
        <v>11.3</v>
      </c>
      <c r="P123" s="12">
        <v>21.6</v>
      </c>
      <c r="Q123" s="12">
        <v>108</v>
      </c>
      <c r="R123" s="12">
        <v>82</v>
      </c>
      <c r="S123" s="12">
        <f t="shared" si="2"/>
        <v>26</v>
      </c>
      <c r="T123" s="12">
        <v>100</v>
      </c>
      <c r="W123" s="11" t="s">
        <v>9885</v>
      </c>
    </row>
    <row r="124" spans="2:23" x14ac:dyDescent="0.2">
      <c r="G124" s="15"/>
    </row>
    <row r="125" spans="2:23" x14ac:dyDescent="0.2">
      <c r="G125" s="15"/>
    </row>
    <row r="126" spans="2:23" x14ac:dyDescent="0.2">
      <c r="G126" s="15"/>
    </row>
    <row r="127" spans="2:23" x14ac:dyDescent="0.2">
      <c r="G127" s="15"/>
    </row>
    <row r="128" spans="2:23" x14ac:dyDescent="0.2">
      <c r="G128" s="15"/>
    </row>
    <row r="129" spans="7:7" x14ac:dyDescent="0.2">
      <c r="G129" s="15"/>
    </row>
    <row r="130" spans="7:7" x14ac:dyDescent="0.2">
      <c r="G130" s="15"/>
    </row>
    <row r="131" spans="7:7" x14ac:dyDescent="0.2">
      <c r="G131" s="15"/>
    </row>
    <row r="132" spans="7:7" x14ac:dyDescent="0.2">
      <c r="G132" s="15"/>
    </row>
    <row r="133" spans="7:7" x14ac:dyDescent="0.2">
      <c r="G133" s="15"/>
    </row>
    <row r="134" spans="7:7" x14ac:dyDescent="0.2">
      <c r="G134" s="15"/>
    </row>
    <row r="135" spans="7:7" x14ac:dyDescent="0.2">
      <c r="G135" s="15"/>
    </row>
    <row r="136" spans="7:7" x14ac:dyDescent="0.2">
      <c r="G136" s="15"/>
    </row>
    <row r="137" spans="7:7" x14ac:dyDescent="0.2">
      <c r="G137" s="15"/>
    </row>
    <row r="138" spans="7:7" x14ac:dyDescent="0.2">
      <c r="G138" s="15"/>
    </row>
    <row r="139" spans="7:7" x14ac:dyDescent="0.2">
      <c r="G139" s="15"/>
    </row>
    <row r="140" spans="7:7" x14ac:dyDescent="0.2">
      <c r="G140" s="15"/>
    </row>
    <row r="141" spans="7:7" x14ac:dyDescent="0.2">
      <c r="G141" s="15"/>
    </row>
    <row r="142" spans="7:7" x14ac:dyDescent="0.2">
      <c r="G142" s="15"/>
    </row>
    <row r="143" spans="7:7" x14ac:dyDescent="0.2">
      <c r="G143" s="15"/>
    </row>
    <row r="144" spans="7:7" x14ac:dyDescent="0.2">
      <c r="G144" s="15"/>
    </row>
    <row r="145" spans="7:7" x14ac:dyDescent="0.2">
      <c r="G145" s="15"/>
    </row>
    <row r="146" spans="7:7" x14ac:dyDescent="0.2">
      <c r="G146" s="15"/>
    </row>
    <row r="147" spans="7:7" x14ac:dyDescent="0.2">
      <c r="G147" s="15"/>
    </row>
    <row r="148" spans="7:7" x14ac:dyDescent="0.2">
      <c r="G148" s="15"/>
    </row>
    <row r="149" spans="7:7" x14ac:dyDescent="0.2">
      <c r="G149" s="15"/>
    </row>
    <row r="150" spans="7:7" x14ac:dyDescent="0.2">
      <c r="G150" s="15"/>
    </row>
    <row r="151" spans="7:7" x14ac:dyDescent="0.2">
      <c r="G151" s="15"/>
    </row>
    <row r="152" spans="7:7" x14ac:dyDescent="0.2">
      <c r="G152" s="15"/>
    </row>
    <row r="153" spans="7:7" x14ac:dyDescent="0.2">
      <c r="G153" s="15"/>
    </row>
    <row r="154" spans="7:7" x14ac:dyDescent="0.2">
      <c r="G154" s="15"/>
    </row>
    <row r="155" spans="7:7" x14ac:dyDescent="0.2">
      <c r="G155" s="15"/>
    </row>
    <row r="156" spans="7:7" x14ac:dyDescent="0.2">
      <c r="G156" s="15"/>
    </row>
    <row r="157" spans="7:7" x14ac:dyDescent="0.2">
      <c r="G157" s="15"/>
    </row>
    <row r="158" spans="7:7" x14ac:dyDescent="0.2">
      <c r="G158" s="15"/>
    </row>
    <row r="159" spans="7:7" x14ac:dyDescent="0.2">
      <c r="G159" s="15"/>
    </row>
    <row r="160" spans="7:7" x14ac:dyDescent="0.2">
      <c r="G160" s="15"/>
    </row>
    <row r="161" spans="7:7" x14ac:dyDescent="0.2">
      <c r="G161" s="15"/>
    </row>
    <row r="162" spans="7:7" x14ac:dyDescent="0.2">
      <c r="G162" s="15"/>
    </row>
    <row r="163" spans="7:7" x14ac:dyDescent="0.2">
      <c r="G163" s="15"/>
    </row>
    <row r="164" spans="7:7" x14ac:dyDescent="0.2">
      <c r="G164" s="15"/>
    </row>
    <row r="165" spans="7:7" x14ac:dyDescent="0.2">
      <c r="G165" s="15"/>
    </row>
    <row r="166" spans="7:7" x14ac:dyDescent="0.2">
      <c r="G166" s="15"/>
    </row>
    <row r="167" spans="7:7" x14ac:dyDescent="0.2">
      <c r="G167" s="15"/>
    </row>
    <row r="168" spans="7:7" x14ac:dyDescent="0.2">
      <c r="G168" s="15"/>
    </row>
    <row r="169" spans="7:7" x14ac:dyDescent="0.2">
      <c r="G169" s="15"/>
    </row>
    <row r="170" spans="7:7" x14ac:dyDescent="0.2">
      <c r="G170" s="15"/>
    </row>
    <row r="171" spans="7:7" x14ac:dyDescent="0.2">
      <c r="G171" s="15"/>
    </row>
    <row r="172" spans="7:7" x14ac:dyDescent="0.2">
      <c r="G172" s="15"/>
    </row>
    <row r="173" spans="7:7" x14ac:dyDescent="0.2">
      <c r="G173" s="15"/>
    </row>
    <row r="174" spans="7:7" x14ac:dyDescent="0.2">
      <c r="G174" s="15"/>
    </row>
    <row r="175" spans="7:7" x14ac:dyDescent="0.2">
      <c r="G175" s="15"/>
    </row>
    <row r="176" spans="7:7" x14ac:dyDescent="0.2">
      <c r="G176" s="15"/>
    </row>
    <row r="177" spans="7:7" x14ac:dyDescent="0.2">
      <c r="G177" s="15"/>
    </row>
    <row r="178" spans="7:7" x14ac:dyDescent="0.2">
      <c r="G178" s="15"/>
    </row>
    <row r="179" spans="7:7" x14ac:dyDescent="0.2">
      <c r="G179" s="15"/>
    </row>
    <row r="180" spans="7:7" x14ac:dyDescent="0.2">
      <c r="G180" s="15"/>
    </row>
    <row r="181" spans="7:7" x14ac:dyDescent="0.2">
      <c r="G181" s="15"/>
    </row>
    <row r="182" spans="7:7" x14ac:dyDescent="0.2">
      <c r="G182" s="15"/>
    </row>
    <row r="183" spans="7:7" x14ac:dyDescent="0.2">
      <c r="G183" s="15"/>
    </row>
    <row r="184" spans="7:7" x14ac:dyDescent="0.2">
      <c r="G184" s="15"/>
    </row>
    <row r="185" spans="7:7" x14ac:dyDescent="0.2">
      <c r="G185" s="15"/>
    </row>
    <row r="186" spans="7:7" x14ac:dyDescent="0.2">
      <c r="G186" s="15"/>
    </row>
    <row r="187" spans="7:7" x14ac:dyDescent="0.2">
      <c r="G187" s="15"/>
    </row>
    <row r="188" spans="7:7" x14ac:dyDescent="0.2">
      <c r="G188" s="15"/>
    </row>
    <row r="189" spans="7:7" x14ac:dyDescent="0.2">
      <c r="G189" s="15"/>
    </row>
    <row r="190" spans="7:7" x14ac:dyDescent="0.2">
      <c r="G190" s="15"/>
    </row>
    <row r="191" spans="7:7" x14ac:dyDescent="0.2">
      <c r="G191" s="15"/>
    </row>
    <row r="192" spans="7:7" x14ac:dyDescent="0.2">
      <c r="G192" s="15"/>
    </row>
    <row r="193" spans="7:7" x14ac:dyDescent="0.2">
      <c r="G193" s="15"/>
    </row>
    <row r="194" spans="7:7" x14ac:dyDescent="0.2">
      <c r="G194" s="15"/>
    </row>
    <row r="195" spans="7:7" x14ac:dyDescent="0.2">
      <c r="G195" s="15"/>
    </row>
    <row r="196" spans="7:7" x14ac:dyDescent="0.2">
      <c r="G196" s="15"/>
    </row>
    <row r="197" spans="7:7" x14ac:dyDescent="0.2">
      <c r="G197" s="15"/>
    </row>
    <row r="198" spans="7:7" x14ac:dyDescent="0.2">
      <c r="G198" s="15"/>
    </row>
    <row r="199" spans="7:7" x14ac:dyDescent="0.2">
      <c r="G199" s="15"/>
    </row>
    <row r="200" spans="7:7" x14ac:dyDescent="0.2">
      <c r="G200" s="15"/>
    </row>
    <row r="201" spans="7:7" x14ac:dyDescent="0.2">
      <c r="G201" s="15"/>
    </row>
    <row r="202" spans="7:7" x14ac:dyDescent="0.2">
      <c r="G202" s="15"/>
    </row>
    <row r="203" spans="7:7" x14ac:dyDescent="0.2">
      <c r="G203" s="15"/>
    </row>
    <row r="204" spans="7:7" x14ac:dyDescent="0.2">
      <c r="G204" s="15"/>
    </row>
    <row r="205" spans="7:7" x14ac:dyDescent="0.2">
      <c r="G205" s="15"/>
    </row>
    <row r="206" spans="7:7" x14ac:dyDescent="0.2">
      <c r="G206" s="15"/>
    </row>
    <row r="207" spans="7:7" x14ac:dyDescent="0.2">
      <c r="G207" s="15"/>
    </row>
    <row r="208" spans="7:7" x14ac:dyDescent="0.2">
      <c r="G208" s="15"/>
    </row>
    <row r="209" spans="7:7" x14ac:dyDescent="0.2">
      <c r="G209" s="15"/>
    </row>
    <row r="210" spans="7:7" x14ac:dyDescent="0.2">
      <c r="G210" s="15"/>
    </row>
    <row r="211" spans="7:7" x14ac:dyDescent="0.2">
      <c r="G211" s="15"/>
    </row>
    <row r="212" spans="7:7" x14ac:dyDescent="0.2">
      <c r="G212" s="15"/>
    </row>
    <row r="213" spans="7:7" x14ac:dyDescent="0.2">
      <c r="G213" s="15"/>
    </row>
    <row r="214" spans="7:7" x14ac:dyDescent="0.2">
      <c r="G214" s="15"/>
    </row>
    <row r="215" spans="7:7" x14ac:dyDescent="0.2">
      <c r="G215" s="15"/>
    </row>
    <row r="216" spans="7:7" x14ac:dyDescent="0.2">
      <c r="G216" s="15"/>
    </row>
    <row r="217" spans="7:7" x14ac:dyDescent="0.2">
      <c r="G217" s="15"/>
    </row>
    <row r="218" spans="7:7" x14ac:dyDescent="0.2">
      <c r="G218" s="15"/>
    </row>
    <row r="219" spans="7:7" x14ac:dyDescent="0.2">
      <c r="G219" s="15"/>
    </row>
    <row r="220" spans="7:7" x14ac:dyDescent="0.2">
      <c r="G220" s="15"/>
    </row>
    <row r="221" spans="7:7" x14ac:dyDescent="0.2">
      <c r="G221" s="15"/>
    </row>
    <row r="222" spans="7:7" x14ac:dyDescent="0.2">
      <c r="G222" s="15"/>
    </row>
    <row r="223" spans="7:7" x14ac:dyDescent="0.2">
      <c r="G223" s="15"/>
    </row>
    <row r="224" spans="7:7" x14ac:dyDescent="0.2">
      <c r="G224" s="15"/>
    </row>
    <row r="225" spans="7:7" x14ac:dyDescent="0.2">
      <c r="G225" s="15"/>
    </row>
    <row r="226" spans="7:7" x14ac:dyDescent="0.2">
      <c r="G226" s="15"/>
    </row>
    <row r="227" spans="7:7" x14ac:dyDescent="0.2">
      <c r="G227" s="15"/>
    </row>
    <row r="228" spans="7:7" x14ac:dyDescent="0.2">
      <c r="G228" s="15"/>
    </row>
    <row r="229" spans="7:7" x14ac:dyDescent="0.2">
      <c r="G229" s="15"/>
    </row>
    <row r="230" spans="7:7" x14ac:dyDescent="0.2">
      <c r="G230" s="15"/>
    </row>
    <row r="231" spans="7:7" x14ac:dyDescent="0.2">
      <c r="G231" s="15"/>
    </row>
    <row r="232" spans="7:7" x14ac:dyDescent="0.2">
      <c r="G232" s="15"/>
    </row>
    <row r="233" spans="7:7" x14ac:dyDescent="0.2">
      <c r="G233" s="15"/>
    </row>
    <row r="234" spans="7:7" x14ac:dyDescent="0.2">
      <c r="G234" s="15"/>
    </row>
    <row r="235" spans="7:7" x14ac:dyDescent="0.2">
      <c r="G235" s="15"/>
    </row>
    <row r="236" spans="7:7" x14ac:dyDescent="0.2">
      <c r="G236" s="15"/>
    </row>
    <row r="237" spans="7:7" x14ac:dyDescent="0.2">
      <c r="G237" s="15"/>
    </row>
    <row r="238" spans="7:7" x14ac:dyDescent="0.2">
      <c r="G238" s="15"/>
    </row>
    <row r="239" spans="7:7" x14ac:dyDescent="0.2">
      <c r="G239" s="15"/>
    </row>
    <row r="240" spans="7:7" x14ac:dyDescent="0.2">
      <c r="G240" s="15"/>
    </row>
    <row r="241" spans="7:7" x14ac:dyDescent="0.2">
      <c r="G241" s="15"/>
    </row>
    <row r="242" spans="7:7" x14ac:dyDescent="0.2">
      <c r="G242" s="15"/>
    </row>
    <row r="243" spans="7:7" x14ac:dyDescent="0.2">
      <c r="G243" s="15"/>
    </row>
    <row r="244" spans="7:7" x14ac:dyDescent="0.2">
      <c r="G244" s="15"/>
    </row>
    <row r="245" spans="7:7" x14ac:dyDescent="0.2">
      <c r="G245" s="15"/>
    </row>
    <row r="246" spans="7:7" x14ac:dyDescent="0.2">
      <c r="G246" s="15"/>
    </row>
    <row r="247" spans="7:7" x14ac:dyDescent="0.2">
      <c r="G247" s="15"/>
    </row>
    <row r="248" spans="7:7" x14ac:dyDescent="0.2">
      <c r="G248" s="15"/>
    </row>
    <row r="249" spans="7:7" x14ac:dyDescent="0.2">
      <c r="G249" s="15"/>
    </row>
    <row r="250" spans="7:7" x14ac:dyDescent="0.2">
      <c r="G250" s="15"/>
    </row>
    <row r="251" spans="7:7" x14ac:dyDescent="0.2">
      <c r="G251" s="15"/>
    </row>
    <row r="252" spans="7:7" x14ac:dyDescent="0.2">
      <c r="G252" s="15"/>
    </row>
    <row r="253" spans="7:7" x14ac:dyDescent="0.2">
      <c r="G253" s="15"/>
    </row>
    <row r="254" spans="7:7" x14ac:dyDescent="0.2">
      <c r="G254" s="15"/>
    </row>
    <row r="255" spans="7:7" x14ac:dyDescent="0.2">
      <c r="G255" s="15"/>
    </row>
    <row r="256" spans="7:7" x14ac:dyDescent="0.2">
      <c r="G256" s="15"/>
    </row>
    <row r="257" spans="7:7" x14ac:dyDescent="0.2">
      <c r="G257" s="15"/>
    </row>
    <row r="258" spans="7:7" x14ac:dyDescent="0.2">
      <c r="G258" s="15"/>
    </row>
    <row r="259" spans="7:7" x14ac:dyDescent="0.2">
      <c r="G259" s="15"/>
    </row>
    <row r="260" spans="7:7" x14ac:dyDescent="0.2">
      <c r="G260" s="15"/>
    </row>
    <row r="261" spans="7:7" x14ac:dyDescent="0.2">
      <c r="G261" s="15"/>
    </row>
    <row r="262" spans="7:7" x14ac:dyDescent="0.2">
      <c r="G262" s="15"/>
    </row>
    <row r="263" spans="7:7" x14ac:dyDescent="0.2">
      <c r="G263" s="15"/>
    </row>
    <row r="264" spans="7:7" x14ac:dyDescent="0.2">
      <c r="G264" s="15"/>
    </row>
    <row r="265" spans="7:7" x14ac:dyDescent="0.2">
      <c r="G265" s="15"/>
    </row>
    <row r="266" spans="7:7" x14ac:dyDescent="0.2">
      <c r="G266" s="15"/>
    </row>
    <row r="267" spans="7:7" x14ac:dyDescent="0.2">
      <c r="G267" s="15"/>
    </row>
    <row r="268" spans="7:7" x14ac:dyDescent="0.2">
      <c r="G268" s="15"/>
    </row>
    <row r="269" spans="7:7" x14ac:dyDescent="0.2">
      <c r="G269" s="15"/>
    </row>
    <row r="270" spans="7:7" x14ac:dyDescent="0.2">
      <c r="G270" s="15"/>
    </row>
    <row r="271" spans="7:7" x14ac:dyDescent="0.2">
      <c r="G271" s="15"/>
    </row>
    <row r="272" spans="7:7" x14ac:dyDescent="0.2">
      <c r="G272" s="15"/>
    </row>
    <row r="273" spans="7:7" x14ac:dyDescent="0.2">
      <c r="G273" s="15"/>
    </row>
    <row r="274" spans="7:7" x14ac:dyDescent="0.2">
      <c r="G274" s="15"/>
    </row>
    <row r="275" spans="7:7" x14ac:dyDescent="0.2">
      <c r="G275" s="15"/>
    </row>
    <row r="276" spans="7:7" x14ac:dyDescent="0.2">
      <c r="G276" s="15"/>
    </row>
    <row r="277" spans="7:7" x14ac:dyDescent="0.2">
      <c r="G277" s="15"/>
    </row>
    <row r="278" spans="7:7" x14ac:dyDescent="0.2">
      <c r="G278" s="15"/>
    </row>
    <row r="279" spans="7:7" x14ac:dyDescent="0.2">
      <c r="G279" s="15"/>
    </row>
    <row r="280" spans="7:7" x14ac:dyDescent="0.2">
      <c r="G280" s="15"/>
    </row>
    <row r="281" spans="7:7" x14ac:dyDescent="0.2">
      <c r="G281" s="15"/>
    </row>
    <row r="282" spans="7:7" x14ac:dyDescent="0.2">
      <c r="G282" s="15"/>
    </row>
    <row r="283" spans="7:7" x14ac:dyDescent="0.2">
      <c r="G283" s="15"/>
    </row>
    <row r="284" spans="7:7" x14ac:dyDescent="0.2">
      <c r="G284" s="15"/>
    </row>
    <row r="285" spans="7:7" x14ac:dyDescent="0.2">
      <c r="G285" s="15"/>
    </row>
    <row r="286" spans="7:7" x14ac:dyDescent="0.2">
      <c r="G286" s="15"/>
    </row>
    <row r="287" spans="7:7" x14ac:dyDescent="0.2">
      <c r="G287" s="15"/>
    </row>
    <row r="288" spans="7:7" x14ac:dyDescent="0.2">
      <c r="G288" s="15"/>
    </row>
    <row r="289" spans="7:7" x14ac:dyDescent="0.2">
      <c r="G289" s="15"/>
    </row>
    <row r="290" spans="7:7" x14ac:dyDescent="0.2">
      <c r="G290" s="15"/>
    </row>
    <row r="291" spans="7:7" x14ac:dyDescent="0.2">
      <c r="G291" s="15"/>
    </row>
    <row r="292" spans="7:7" x14ac:dyDescent="0.2">
      <c r="G292" s="15"/>
    </row>
    <row r="293" spans="7:7" x14ac:dyDescent="0.2">
      <c r="G293" s="15"/>
    </row>
    <row r="294" spans="7:7" x14ac:dyDescent="0.2">
      <c r="G294" s="15"/>
    </row>
    <row r="295" spans="7:7" x14ac:dyDescent="0.2">
      <c r="G295" s="15"/>
    </row>
    <row r="296" spans="7:7" x14ac:dyDescent="0.2">
      <c r="G296" s="15"/>
    </row>
    <row r="297" spans="7:7" x14ac:dyDescent="0.2">
      <c r="G297" s="15"/>
    </row>
    <row r="298" spans="7:7" x14ac:dyDescent="0.2">
      <c r="G298" s="15"/>
    </row>
    <row r="299" spans="7:7" x14ac:dyDescent="0.2">
      <c r="G299" s="15"/>
    </row>
    <row r="300" spans="7:7" x14ac:dyDescent="0.2">
      <c r="G300" s="15"/>
    </row>
    <row r="301" spans="7:7" x14ac:dyDescent="0.2">
      <c r="G301" s="15"/>
    </row>
    <row r="302" spans="7:7" x14ac:dyDescent="0.2">
      <c r="G302" s="15"/>
    </row>
    <row r="303" spans="7:7" x14ac:dyDescent="0.2">
      <c r="G303" s="15"/>
    </row>
    <row r="304" spans="7:7" x14ac:dyDescent="0.2">
      <c r="G304" s="15"/>
    </row>
    <row r="305" spans="7:7" x14ac:dyDescent="0.2">
      <c r="G305" s="15"/>
    </row>
    <row r="306" spans="7:7" x14ac:dyDescent="0.2">
      <c r="G306" s="15"/>
    </row>
    <row r="307" spans="7:7" x14ac:dyDescent="0.2">
      <c r="G307" s="15"/>
    </row>
    <row r="308" spans="7:7" x14ac:dyDescent="0.2">
      <c r="G308" s="15"/>
    </row>
    <row r="309" spans="7:7" x14ac:dyDescent="0.2">
      <c r="G309" s="15"/>
    </row>
    <row r="310" spans="7:7" x14ac:dyDescent="0.2">
      <c r="G310" s="15"/>
    </row>
    <row r="311" spans="7:7" x14ac:dyDescent="0.2">
      <c r="G311" s="15"/>
    </row>
    <row r="312" spans="7:7" x14ac:dyDescent="0.2">
      <c r="G312" s="15"/>
    </row>
    <row r="313" spans="7:7" x14ac:dyDescent="0.2">
      <c r="G313" s="15"/>
    </row>
    <row r="314" spans="7:7" x14ac:dyDescent="0.2">
      <c r="G314" s="15"/>
    </row>
    <row r="315" spans="7:7" x14ac:dyDescent="0.2">
      <c r="G315" s="15"/>
    </row>
    <row r="316" spans="7:7" x14ac:dyDescent="0.2">
      <c r="G316" s="15"/>
    </row>
    <row r="317" spans="7:7" x14ac:dyDescent="0.2">
      <c r="G317" s="15"/>
    </row>
    <row r="318" spans="7:7" x14ac:dyDescent="0.2">
      <c r="G318" s="15"/>
    </row>
    <row r="319" spans="7:7" x14ac:dyDescent="0.2">
      <c r="G319" s="15"/>
    </row>
    <row r="320" spans="7:7" x14ac:dyDescent="0.2">
      <c r="G320" s="15"/>
    </row>
    <row r="321" spans="7:7" x14ac:dyDescent="0.2">
      <c r="G321" s="15"/>
    </row>
    <row r="322" spans="7:7" x14ac:dyDescent="0.2">
      <c r="G322" s="15"/>
    </row>
    <row r="323" spans="7:7" x14ac:dyDescent="0.2">
      <c r="G323" s="15"/>
    </row>
    <row r="324" spans="7:7" x14ac:dyDescent="0.2">
      <c r="G324" s="15"/>
    </row>
    <row r="325" spans="7:7" x14ac:dyDescent="0.2">
      <c r="G325" s="15"/>
    </row>
    <row r="326" spans="7:7" x14ac:dyDescent="0.2">
      <c r="G326" s="15"/>
    </row>
    <row r="327" spans="7:7" x14ac:dyDescent="0.2">
      <c r="G327" s="15"/>
    </row>
    <row r="328" spans="7:7" x14ac:dyDescent="0.2">
      <c r="G328" s="15"/>
    </row>
    <row r="329" spans="7:7" x14ac:dyDescent="0.2">
      <c r="G329" s="15"/>
    </row>
    <row r="330" spans="7:7" x14ac:dyDescent="0.2">
      <c r="G330" s="15"/>
    </row>
    <row r="331" spans="7:7" x14ac:dyDescent="0.2">
      <c r="G331" s="15"/>
    </row>
    <row r="332" spans="7:7" x14ac:dyDescent="0.2">
      <c r="G332" s="15"/>
    </row>
    <row r="333" spans="7:7" x14ac:dyDescent="0.2">
      <c r="G333" s="15"/>
    </row>
    <row r="334" spans="7:7" x14ac:dyDescent="0.2">
      <c r="G334" s="15"/>
    </row>
    <row r="335" spans="7:7" x14ac:dyDescent="0.2">
      <c r="G335" s="15"/>
    </row>
    <row r="336" spans="7:7" x14ac:dyDescent="0.2">
      <c r="G336" s="15"/>
    </row>
    <row r="337" spans="7:7" x14ac:dyDescent="0.2">
      <c r="G337" s="15"/>
    </row>
    <row r="338" spans="7:7" x14ac:dyDescent="0.2">
      <c r="G338" s="15"/>
    </row>
    <row r="339" spans="7:7" x14ac:dyDescent="0.2">
      <c r="G339" s="15"/>
    </row>
    <row r="340" spans="7:7" x14ac:dyDescent="0.2">
      <c r="G340" s="15"/>
    </row>
    <row r="341" spans="7:7" x14ac:dyDescent="0.2">
      <c r="G341" s="15"/>
    </row>
    <row r="342" spans="7:7" x14ac:dyDescent="0.2">
      <c r="G342" s="15"/>
    </row>
    <row r="343" spans="7:7" x14ac:dyDescent="0.2">
      <c r="G343" s="15"/>
    </row>
    <row r="344" spans="7:7" x14ac:dyDescent="0.2">
      <c r="G344" s="15"/>
    </row>
    <row r="345" spans="7:7" x14ac:dyDescent="0.2">
      <c r="G345" s="15"/>
    </row>
    <row r="346" spans="7:7" x14ac:dyDescent="0.2">
      <c r="G346" s="15"/>
    </row>
    <row r="347" spans="7:7" x14ac:dyDescent="0.2">
      <c r="G347" s="15"/>
    </row>
    <row r="348" spans="7:7" x14ac:dyDescent="0.2">
      <c r="G348" s="15"/>
    </row>
    <row r="349" spans="7:7" x14ac:dyDescent="0.2">
      <c r="G349" s="15"/>
    </row>
    <row r="350" spans="7:7" x14ac:dyDescent="0.2">
      <c r="G350" s="15"/>
    </row>
    <row r="351" spans="7:7" x14ac:dyDescent="0.2">
      <c r="G351" s="15"/>
    </row>
    <row r="352" spans="7:7" x14ac:dyDescent="0.2">
      <c r="G352" s="15"/>
    </row>
    <row r="353" spans="7:7" x14ac:dyDescent="0.2">
      <c r="G353" s="15"/>
    </row>
    <row r="354" spans="7:7" x14ac:dyDescent="0.2">
      <c r="G354" s="15"/>
    </row>
    <row r="355" spans="7:7" x14ac:dyDescent="0.2">
      <c r="G355" s="15"/>
    </row>
    <row r="356" spans="7:7" x14ac:dyDescent="0.2">
      <c r="G356" s="15"/>
    </row>
    <row r="357" spans="7:7" x14ac:dyDescent="0.2">
      <c r="G357" s="15"/>
    </row>
    <row r="358" spans="7:7" x14ac:dyDescent="0.2">
      <c r="G358" s="15"/>
    </row>
    <row r="359" spans="7:7" x14ac:dyDescent="0.2">
      <c r="G359" s="15"/>
    </row>
    <row r="360" spans="7:7" x14ac:dyDescent="0.2">
      <c r="G360" s="15"/>
    </row>
    <row r="361" spans="7:7" x14ac:dyDescent="0.2">
      <c r="G361" s="15"/>
    </row>
    <row r="362" spans="7:7" x14ac:dyDescent="0.2">
      <c r="G362" s="15"/>
    </row>
    <row r="363" spans="7:7" x14ac:dyDescent="0.2">
      <c r="G363" s="15"/>
    </row>
    <row r="364" spans="7:7" x14ac:dyDescent="0.2">
      <c r="G364" s="15"/>
    </row>
    <row r="365" spans="7:7" x14ac:dyDescent="0.2">
      <c r="G365" s="15"/>
    </row>
    <row r="366" spans="7:7" x14ac:dyDescent="0.2">
      <c r="G366" s="15"/>
    </row>
    <row r="367" spans="7:7" x14ac:dyDescent="0.2">
      <c r="G367" s="15"/>
    </row>
    <row r="368" spans="7:7" x14ac:dyDescent="0.2">
      <c r="G368" s="15"/>
    </row>
    <row r="369" spans="7:7" x14ac:dyDescent="0.2">
      <c r="G369" s="15"/>
    </row>
    <row r="370" spans="7:7" x14ac:dyDescent="0.2">
      <c r="G370" s="15"/>
    </row>
    <row r="371" spans="7:7" x14ac:dyDescent="0.2">
      <c r="G371" s="15"/>
    </row>
    <row r="372" spans="7:7" x14ac:dyDescent="0.2">
      <c r="G372" s="15"/>
    </row>
    <row r="373" spans="7:7" x14ac:dyDescent="0.2">
      <c r="G373" s="15"/>
    </row>
    <row r="374" spans="7:7" x14ac:dyDescent="0.2">
      <c r="G374" s="15"/>
    </row>
    <row r="375" spans="7:7" x14ac:dyDescent="0.2">
      <c r="G375" s="15"/>
    </row>
    <row r="376" spans="7:7" x14ac:dyDescent="0.2">
      <c r="G376" s="15"/>
    </row>
    <row r="377" spans="7:7" x14ac:dyDescent="0.2">
      <c r="G377" s="15"/>
    </row>
    <row r="378" spans="7:7" x14ac:dyDescent="0.2">
      <c r="G378" s="15"/>
    </row>
    <row r="379" spans="7:7" x14ac:dyDescent="0.2">
      <c r="G379" s="15"/>
    </row>
    <row r="380" spans="7:7" x14ac:dyDescent="0.2">
      <c r="G380" s="15"/>
    </row>
    <row r="381" spans="7:7" x14ac:dyDescent="0.2">
      <c r="G381" s="15"/>
    </row>
    <row r="382" spans="7:7" x14ac:dyDescent="0.2">
      <c r="G382" s="15"/>
    </row>
    <row r="383" spans="7:7" x14ac:dyDescent="0.2">
      <c r="G383" s="15"/>
    </row>
    <row r="384" spans="7:7" x14ac:dyDescent="0.2">
      <c r="G384" s="15"/>
    </row>
    <row r="385" spans="7:7" x14ac:dyDescent="0.2">
      <c r="G385" s="15"/>
    </row>
    <row r="386" spans="7:7" x14ac:dyDescent="0.2">
      <c r="G386" s="15"/>
    </row>
    <row r="387" spans="7:7" x14ac:dyDescent="0.2">
      <c r="G387" s="15"/>
    </row>
    <row r="388" spans="7:7" x14ac:dyDescent="0.2">
      <c r="G388" s="15"/>
    </row>
    <row r="389" spans="7:7" x14ac:dyDescent="0.2">
      <c r="G389" s="15"/>
    </row>
    <row r="390" spans="7:7" x14ac:dyDescent="0.2">
      <c r="G390" s="15"/>
    </row>
    <row r="391" spans="7:7" x14ac:dyDescent="0.2">
      <c r="G391" s="15"/>
    </row>
    <row r="392" spans="7:7" x14ac:dyDescent="0.2">
      <c r="G392" s="15"/>
    </row>
    <row r="393" spans="7:7" x14ac:dyDescent="0.2">
      <c r="G393" s="15"/>
    </row>
    <row r="394" spans="7:7" x14ac:dyDescent="0.2">
      <c r="G394" s="15"/>
    </row>
    <row r="395" spans="7:7" x14ac:dyDescent="0.2">
      <c r="G395" s="15"/>
    </row>
    <row r="396" spans="7:7" x14ac:dyDescent="0.2">
      <c r="G396" s="15"/>
    </row>
    <row r="397" spans="7:7" x14ac:dyDescent="0.2">
      <c r="G397" s="15"/>
    </row>
    <row r="398" spans="7:7" x14ac:dyDescent="0.2">
      <c r="G398" s="15"/>
    </row>
    <row r="399" spans="7:7" x14ac:dyDescent="0.2">
      <c r="G399" s="15"/>
    </row>
    <row r="400" spans="7:7" x14ac:dyDescent="0.2">
      <c r="G400" s="15"/>
    </row>
    <row r="401" spans="7:7" x14ac:dyDescent="0.2">
      <c r="G401" s="15"/>
    </row>
    <row r="402" spans="7:7" x14ac:dyDescent="0.2">
      <c r="G402" s="15"/>
    </row>
    <row r="403" spans="7:7" x14ac:dyDescent="0.2">
      <c r="G403" s="15"/>
    </row>
    <row r="404" spans="7:7" x14ac:dyDescent="0.2">
      <c r="G404" s="15"/>
    </row>
    <row r="405" spans="7:7" x14ac:dyDescent="0.2">
      <c r="G405" s="15"/>
    </row>
    <row r="406" spans="7:7" x14ac:dyDescent="0.2">
      <c r="G406" s="15"/>
    </row>
    <row r="407" spans="7:7" x14ac:dyDescent="0.2">
      <c r="G407" s="15"/>
    </row>
    <row r="408" spans="7:7" x14ac:dyDescent="0.2">
      <c r="G408" s="15"/>
    </row>
    <row r="409" spans="7:7" x14ac:dyDescent="0.2">
      <c r="G409" s="15"/>
    </row>
    <row r="410" spans="7:7" x14ac:dyDescent="0.2">
      <c r="G410" s="15"/>
    </row>
    <row r="411" spans="7:7" x14ac:dyDescent="0.2">
      <c r="G411" s="15"/>
    </row>
    <row r="412" spans="7:7" x14ac:dyDescent="0.2">
      <c r="G412" s="15"/>
    </row>
    <row r="413" spans="7:7" x14ac:dyDescent="0.2">
      <c r="G413" s="15"/>
    </row>
    <row r="414" spans="7:7" x14ac:dyDescent="0.2">
      <c r="G414" s="15"/>
    </row>
    <row r="415" spans="7:7" x14ac:dyDescent="0.2">
      <c r="G415" s="15"/>
    </row>
    <row r="416" spans="7:7" x14ac:dyDescent="0.2">
      <c r="G416" s="15"/>
    </row>
    <row r="417" spans="7:7" x14ac:dyDescent="0.2">
      <c r="G417" s="15"/>
    </row>
    <row r="418" spans="7:7" x14ac:dyDescent="0.2">
      <c r="G418" s="15"/>
    </row>
    <row r="419" spans="7:7" x14ac:dyDescent="0.2">
      <c r="G419" s="15"/>
    </row>
    <row r="420" spans="7:7" x14ac:dyDescent="0.2">
      <c r="G420" s="15"/>
    </row>
    <row r="421" spans="7:7" x14ac:dyDescent="0.2">
      <c r="G421" s="15"/>
    </row>
    <row r="422" spans="7:7" x14ac:dyDescent="0.2">
      <c r="G422" s="15"/>
    </row>
    <row r="423" spans="7:7" x14ac:dyDescent="0.2">
      <c r="G423" s="15"/>
    </row>
    <row r="424" spans="7:7" x14ac:dyDescent="0.2">
      <c r="G424" s="15"/>
    </row>
    <row r="425" spans="7:7" x14ac:dyDescent="0.2">
      <c r="G425" s="15"/>
    </row>
    <row r="426" spans="7:7" x14ac:dyDescent="0.2">
      <c r="G426" s="15"/>
    </row>
    <row r="427" spans="7:7" x14ac:dyDescent="0.2">
      <c r="G427" s="15"/>
    </row>
    <row r="428" spans="7:7" x14ac:dyDescent="0.2">
      <c r="G428" s="15"/>
    </row>
    <row r="429" spans="7:7" x14ac:dyDescent="0.2">
      <c r="G429" s="15"/>
    </row>
    <row r="430" spans="7:7" x14ac:dyDescent="0.2">
      <c r="G430" s="15"/>
    </row>
    <row r="431" spans="7:7" x14ac:dyDescent="0.2">
      <c r="G431" s="15"/>
    </row>
    <row r="432" spans="7:7" x14ac:dyDescent="0.2">
      <c r="G432" s="15"/>
    </row>
    <row r="433" spans="7:7" x14ac:dyDescent="0.2">
      <c r="G433" s="15"/>
    </row>
    <row r="434" spans="7:7" x14ac:dyDescent="0.2">
      <c r="G434" s="15"/>
    </row>
    <row r="435" spans="7:7" x14ac:dyDescent="0.2">
      <c r="G435" s="15"/>
    </row>
    <row r="436" spans="7:7" x14ac:dyDescent="0.2">
      <c r="G436" s="15"/>
    </row>
    <row r="437" spans="7:7" x14ac:dyDescent="0.2">
      <c r="G437" s="15"/>
    </row>
    <row r="438" spans="7:7" x14ac:dyDescent="0.2">
      <c r="G438" s="15"/>
    </row>
    <row r="439" spans="7:7" x14ac:dyDescent="0.2">
      <c r="G439" s="15"/>
    </row>
    <row r="440" spans="7:7" x14ac:dyDescent="0.2">
      <c r="G440" s="15"/>
    </row>
    <row r="441" spans="7:7" x14ac:dyDescent="0.2">
      <c r="G441" s="15"/>
    </row>
    <row r="442" spans="7:7" x14ac:dyDescent="0.2">
      <c r="G442" s="15"/>
    </row>
    <row r="443" spans="7:7" x14ac:dyDescent="0.2">
      <c r="G443" s="15"/>
    </row>
    <row r="444" spans="7:7" x14ac:dyDescent="0.2">
      <c r="G444" s="15"/>
    </row>
    <row r="445" spans="7:7" x14ac:dyDescent="0.2">
      <c r="G445" s="15"/>
    </row>
    <row r="446" spans="7:7" x14ac:dyDescent="0.2">
      <c r="G446" s="15"/>
    </row>
    <row r="447" spans="7:7" x14ac:dyDescent="0.2">
      <c r="G447" s="15"/>
    </row>
    <row r="448" spans="7:7" x14ac:dyDescent="0.2">
      <c r="G448" s="15"/>
    </row>
    <row r="449" spans="7:7" x14ac:dyDescent="0.2">
      <c r="G449" s="15"/>
    </row>
    <row r="450" spans="7:7" x14ac:dyDescent="0.2">
      <c r="G450" s="15"/>
    </row>
    <row r="451" spans="7:7" x14ac:dyDescent="0.2">
      <c r="G451" s="15"/>
    </row>
    <row r="452" spans="7:7" x14ac:dyDescent="0.2">
      <c r="G452" s="15"/>
    </row>
    <row r="453" spans="7:7" x14ac:dyDescent="0.2">
      <c r="G453" s="15"/>
    </row>
    <row r="454" spans="7:7" x14ac:dyDescent="0.2">
      <c r="G454" s="15"/>
    </row>
    <row r="455" spans="7:7" x14ac:dyDescent="0.2">
      <c r="G455" s="15"/>
    </row>
    <row r="456" spans="7:7" x14ac:dyDescent="0.2">
      <c r="G456" s="15"/>
    </row>
    <row r="457" spans="7:7" x14ac:dyDescent="0.2">
      <c r="G457" s="15"/>
    </row>
    <row r="458" spans="7:7" x14ac:dyDescent="0.2">
      <c r="G458" s="15"/>
    </row>
    <row r="459" spans="7:7" x14ac:dyDescent="0.2">
      <c r="G459" s="15"/>
    </row>
    <row r="460" spans="7:7" x14ac:dyDescent="0.2">
      <c r="G460" s="15"/>
    </row>
    <row r="461" spans="7:7" x14ac:dyDescent="0.2">
      <c r="G461" s="15"/>
    </row>
    <row r="462" spans="7:7" x14ac:dyDescent="0.2">
      <c r="G462" s="15"/>
    </row>
    <row r="463" spans="7:7" x14ac:dyDescent="0.2">
      <c r="G463" s="15"/>
    </row>
    <row r="464" spans="7:7" x14ac:dyDescent="0.2">
      <c r="G464" s="15"/>
    </row>
    <row r="465" spans="7:7" x14ac:dyDescent="0.2">
      <c r="G465" s="15"/>
    </row>
    <row r="466" spans="7:7" x14ac:dyDescent="0.2">
      <c r="G466" s="15"/>
    </row>
    <row r="467" spans="7:7" x14ac:dyDescent="0.2">
      <c r="G467" s="15"/>
    </row>
    <row r="468" spans="7:7" x14ac:dyDescent="0.2">
      <c r="G468" s="15"/>
    </row>
    <row r="469" spans="7:7" x14ac:dyDescent="0.2">
      <c r="G469" s="15"/>
    </row>
    <row r="470" spans="7:7" x14ac:dyDescent="0.2">
      <c r="G470" s="15"/>
    </row>
    <row r="471" spans="7:7" x14ac:dyDescent="0.2">
      <c r="G471" s="15"/>
    </row>
    <row r="472" spans="7:7" x14ac:dyDescent="0.2">
      <c r="G472" s="15"/>
    </row>
    <row r="473" spans="7:7" x14ac:dyDescent="0.2">
      <c r="G473" s="15"/>
    </row>
    <row r="474" spans="7:7" x14ac:dyDescent="0.2">
      <c r="G474" s="15"/>
    </row>
    <row r="475" spans="7:7" x14ac:dyDescent="0.2">
      <c r="G475" s="15"/>
    </row>
    <row r="476" spans="7:7" x14ac:dyDescent="0.2">
      <c r="G476" s="15"/>
    </row>
    <row r="477" spans="7:7" x14ac:dyDescent="0.2">
      <c r="G477" s="15"/>
    </row>
    <row r="478" spans="7:7" x14ac:dyDescent="0.2">
      <c r="G478" s="15"/>
    </row>
    <row r="479" spans="7:7" x14ac:dyDescent="0.2">
      <c r="G479" s="15"/>
    </row>
    <row r="480" spans="7:7" x14ac:dyDescent="0.2">
      <c r="G480" s="15"/>
    </row>
    <row r="481" spans="7:7" x14ac:dyDescent="0.2">
      <c r="G481" s="15"/>
    </row>
    <row r="482" spans="7:7" x14ac:dyDescent="0.2">
      <c r="G482" s="15"/>
    </row>
    <row r="483" spans="7:7" x14ac:dyDescent="0.2">
      <c r="G483" s="15"/>
    </row>
    <row r="484" spans="7:7" x14ac:dyDescent="0.2">
      <c r="G484" s="15"/>
    </row>
    <row r="485" spans="7:7" x14ac:dyDescent="0.2">
      <c r="G485" s="15"/>
    </row>
    <row r="486" spans="7:7" x14ac:dyDescent="0.2">
      <c r="G486" s="15"/>
    </row>
    <row r="487" spans="7:7" x14ac:dyDescent="0.2">
      <c r="G487" s="15"/>
    </row>
    <row r="488" spans="7:7" x14ac:dyDescent="0.2">
      <c r="G488" s="15"/>
    </row>
    <row r="489" spans="7:7" x14ac:dyDescent="0.2">
      <c r="G489" s="15"/>
    </row>
    <row r="490" spans="7:7" x14ac:dyDescent="0.2">
      <c r="G490" s="15"/>
    </row>
    <row r="491" spans="7:7" x14ac:dyDescent="0.2">
      <c r="G491" s="15"/>
    </row>
    <row r="492" spans="7:7" x14ac:dyDescent="0.2">
      <c r="G492" s="15"/>
    </row>
    <row r="493" spans="7:7" x14ac:dyDescent="0.2">
      <c r="G493" s="15"/>
    </row>
    <row r="494" spans="7:7" x14ac:dyDescent="0.2">
      <c r="G494" s="15"/>
    </row>
    <row r="495" spans="7:7" x14ac:dyDescent="0.2">
      <c r="G495" s="15"/>
    </row>
    <row r="496" spans="7:7" x14ac:dyDescent="0.2">
      <c r="G496" s="15"/>
    </row>
    <row r="497" spans="7:7" x14ac:dyDescent="0.2">
      <c r="G497" s="15"/>
    </row>
    <row r="498" spans="7:7" x14ac:dyDescent="0.2">
      <c r="G498" s="15"/>
    </row>
    <row r="499" spans="7:7" x14ac:dyDescent="0.2">
      <c r="G499" s="15"/>
    </row>
    <row r="500" spans="7:7" x14ac:dyDescent="0.2">
      <c r="G500" s="15"/>
    </row>
    <row r="501" spans="7:7" x14ac:dyDescent="0.2">
      <c r="G501" s="15"/>
    </row>
    <row r="502" spans="7:7" x14ac:dyDescent="0.2">
      <c r="G502" s="15"/>
    </row>
    <row r="503" spans="7:7" x14ac:dyDescent="0.2">
      <c r="G503" s="15"/>
    </row>
    <row r="504" spans="7:7" x14ac:dyDescent="0.2">
      <c r="G504" s="15"/>
    </row>
    <row r="505" spans="7:7" x14ac:dyDescent="0.2">
      <c r="G505" s="15"/>
    </row>
    <row r="506" spans="7:7" x14ac:dyDescent="0.2">
      <c r="G506" s="15"/>
    </row>
    <row r="507" spans="7:7" x14ac:dyDescent="0.2">
      <c r="G507" s="15"/>
    </row>
    <row r="508" spans="7:7" x14ac:dyDescent="0.2">
      <c r="G508" s="15"/>
    </row>
    <row r="509" spans="7:7" x14ac:dyDescent="0.2">
      <c r="G509" s="15"/>
    </row>
    <row r="510" spans="7:7" x14ac:dyDescent="0.2">
      <c r="G510" s="15"/>
    </row>
    <row r="511" spans="7:7" x14ac:dyDescent="0.2">
      <c r="G511" s="15"/>
    </row>
    <row r="512" spans="7:7" x14ac:dyDescent="0.2">
      <c r="G512" s="15"/>
    </row>
    <row r="513" spans="7:7" x14ac:dyDescent="0.2">
      <c r="G513" s="15"/>
    </row>
    <row r="514" spans="7:7" x14ac:dyDescent="0.2">
      <c r="G514" s="15"/>
    </row>
    <row r="515" spans="7:7" x14ac:dyDescent="0.2">
      <c r="G515" s="15"/>
    </row>
    <row r="516" spans="7:7" x14ac:dyDescent="0.2">
      <c r="G516" s="15"/>
    </row>
    <row r="517" spans="7:7" x14ac:dyDescent="0.2">
      <c r="G517" s="15"/>
    </row>
    <row r="518" spans="7:7" x14ac:dyDescent="0.2">
      <c r="G518" s="15"/>
    </row>
    <row r="519" spans="7:7" x14ac:dyDescent="0.2">
      <c r="G519" s="15"/>
    </row>
    <row r="520" spans="7:7" x14ac:dyDescent="0.2">
      <c r="G520" s="15"/>
    </row>
    <row r="521" spans="7:7" x14ac:dyDescent="0.2">
      <c r="G521" s="15"/>
    </row>
    <row r="522" spans="7:7" x14ac:dyDescent="0.2">
      <c r="G522" s="15"/>
    </row>
    <row r="523" spans="7:7" x14ac:dyDescent="0.2">
      <c r="G523" s="15"/>
    </row>
    <row r="524" spans="7:7" x14ac:dyDescent="0.2">
      <c r="G524" s="15"/>
    </row>
    <row r="525" spans="7:7" x14ac:dyDescent="0.2">
      <c r="G525" s="15"/>
    </row>
    <row r="526" spans="7:7" x14ac:dyDescent="0.2">
      <c r="G526" s="15"/>
    </row>
    <row r="527" spans="7:7" x14ac:dyDescent="0.2">
      <c r="G527" s="15"/>
    </row>
    <row r="528" spans="7:7" x14ac:dyDescent="0.2">
      <c r="G528" s="15"/>
    </row>
    <row r="529" spans="7:7" x14ac:dyDescent="0.2">
      <c r="G529" s="15"/>
    </row>
    <row r="530" spans="7:7" x14ac:dyDescent="0.2">
      <c r="G530" s="15"/>
    </row>
    <row r="531" spans="7:7" x14ac:dyDescent="0.2">
      <c r="G531" s="15"/>
    </row>
    <row r="532" spans="7:7" x14ac:dyDescent="0.2">
      <c r="G532" s="15"/>
    </row>
    <row r="533" spans="7:7" x14ac:dyDescent="0.2">
      <c r="G533" s="15"/>
    </row>
    <row r="534" spans="7:7" x14ac:dyDescent="0.2">
      <c r="G534" s="15"/>
    </row>
    <row r="535" spans="7:7" x14ac:dyDescent="0.2">
      <c r="G535" s="15"/>
    </row>
    <row r="536" spans="7:7" x14ac:dyDescent="0.2">
      <c r="G536" s="15"/>
    </row>
    <row r="537" spans="7:7" x14ac:dyDescent="0.2">
      <c r="G537" s="15"/>
    </row>
    <row r="538" spans="7:7" x14ac:dyDescent="0.2">
      <c r="G538" s="15"/>
    </row>
    <row r="539" spans="7:7" x14ac:dyDescent="0.2">
      <c r="G539" s="15"/>
    </row>
    <row r="540" spans="7:7" x14ac:dyDescent="0.2">
      <c r="G540" s="15"/>
    </row>
    <row r="541" spans="7:7" x14ac:dyDescent="0.2">
      <c r="G541" s="15"/>
    </row>
    <row r="542" spans="7:7" x14ac:dyDescent="0.2">
      <c r="G542" s="15"/>
    </row>
    <row r="543" spans="7:7" x14ac:dyDescent="0.2">
      <c r="G543" s="15"/>
    </row>
    <row r="544" spans="7:7" x14ac:dyDescent="0.2">
      <c r="G544" s="15"/>
    </row>
    <row r="545" spans="7:7" x14ac:dyDescent="0.2">
      <c r="G545" s="15"/>
    </row>
    <row r="546" spans="7:7" x14ac:dyDescent="0.2">
      <c r="G546" s="15"/>
    </row>
    <row r="547" spans="7:7" x14ac:dyDescent="0.2">
      <c r="G547" s="15"/>
    </row>
    <row r="548" spans="7:7" x14ac:dyDescent="0.2">
      <c r="G548" s="15"/>
    </row>
    <row r="549" spans="7:7" x14ac:dyDescent="0.2">
      <c r="G549" s="15"/>
    </row>
    <row r="550" spans="7:7" x14ac:dyDescent="0.2">
      <c r="G550" s="15"/>
    </row>
    <row r="551" spans="7:7" x14ac:dyDescent="0.2">
      <c r="G551" s="15"/>
    </row>
    <row r="552" spans="7:7" x14ac:dyDescent="0.2">
      <c r="G552" s="15"/>
    </row>
    <row r="553" spans="7:7" x14ac:dyDescent="0.2">
      <c r="G553" s="15"/>
    </row>
    <row r="554" spans="7:7" x14ac:dyDescent="0.2">
      <c r="G554" s="15"/>
    </row>
    <row r="555" spans="7:7" x14ac:dyDescent="0.2">
      <c r="G555" s="15"/>
    </row>
    <row r="556" spans="7:7" x14ac:dyDescent="0.2">
      <c r="G556" s="15"/>
    </row>
    <row r="557" spans="7:7" x14ac:dyDescent="0.2">
      <c r="G557" s="15"/>
    </row>
    <row r="558" spans="7:7" x14ac:dyDescent="0.2">
      <c r="G558" s="15"/>
    </row>
    <row r="559" spans="7:7" x14ac:dyDescent="0.2">
      <c r="G559" s="15"/>
    </row>
    <row r="560" spans="7:7" x14ac:dyDescent="0.2">
      <c r="G560" s="15"/>
    </row>
    <row r="561" spans="7:7" x14ac:dyDescent="0.2">
      <c r="G561" s="15"/>
    </row>
    <row r="562" spans="7:7" x14ac:dyDescent="0.2">
      <c r="G562" s="15"/>
    </row>
    <row r="563" spans="7:7" x14ac:dyDescent="0.2">
      <c r="G563" s="15"/>
    </row>
    <row r="564" spans="7:7" x14ac:dyDescent="0.2">
      <c r="G564" s="15"/>
    </row>
    <row r="565" spans="7:7" x14ac:dyDescent="0.2">
      <c r="G565" s="15"/>
    </row>
    <row r="566" spans="7:7" x14ac:dyDescent="0.2">
      <c r="G566" s="15"/>
    </row>
    <row r="567" spans="7:7" x14ac:dyDescent="0.2">
      <c r="G567" s="15"/>
    </row>
    <row r="568" spans="7:7" x14ac:dyDescent="0.2">
      <c r="G568" s="15"/>
    </row>
    <row r="569" spans="7:7" x14ac:dyDescent="0.2">
      <c r="G569" s="15"/>
    </row>
    <row r="570" spans="7:7" x14ac:dyDescent="0.2">
      <c r="G570" s="15"/>
    </row>
    <row r="571" spans="7:7" x14ac:dyDescent="0.2">
      <c r="G571" s="15"/>
    </row>
    <row r="572" spans="7:7" x14ac:dyDescent="0.2">
      <c r="G572" s="15"/>
    </row>
    <row r="573" spans="7:7" x14ac:dyDescent="0.2">
      <c r="G573" s="15"/>
    </row>
    <row r="574" spans="7:7" x14ac:dyDescent="0.2">
      <c r="G574" s="15"/>
    </row>
    <row r="575" spans="7:7" x14ac:dyDescent="0.2">
      <c r="G575" s="15"/>
    </row>
    <row r="576" spans="7:7" x14ac:dyDescent="0.2">
      <c r="G576" s="15"/>
    </row>
    <row r="577" spans="7:7" x14ac:dyDescent="0.2">
      <c r="G577" s="15"/>
    </row>
    <row r="578" spans="7:7" x14ac:dyDescent="0.2">
      <c r="G578" s="15"/>
    </row>
    <row r="579" spans="7:7" x14ac:dyDescent="0.2">
      <c r="G579" s="15"/>
    </row>
    <row r="580" spans="7:7" x14ac:dyDescent="0.2">
      <c r="G580" s="15"/>
    </row>
    <row r="581" spans="7:7" x14ac:dyDescent="0.2">
      <c r="G581" s="15"/>
    </row>
    <row r="582" spans="7:7" x14ac:dyDescent="0.2">
      <c r="G582" s="15"/>
    </row>
    <row r="583" spans="7:7" x14ac:dyDescent="0.2">
      <c r="G583" s="15"/>
    </row>
    <row r="584" spans="7:7" x14ac:dyDescent="0.2">
      <c r="G584" s="15"/>
    </row>
    <row r="585" spans="7:7" x14ac:dyDescent="0.2">
      <c r="G585" s="15"/>
    </row>
    <row r="586" spans="7:7" x14ac:dyDescent="0.2">
      <c r="G586" s="15"/>
    </row>
    <row r="587" spans="7:7" x14ac:dyDescent="0.2">
      <c r="G587" s="15"/>
    </row>
    <row r="588" spans="7:7" x14ac:dyDescent="0.2">
      <c r="G588" s="15"/>
    </row>
    <row r="589" spans="7:7" x14ac:dyDescent="0.2">
      <c r="G589" s="15"/>
    </row>
    <row r="590" spans="7:7" x14ac:dyDescent="0.2">
      <c r="G590" s="15"/>
    </row>
    <row r="591" spans="7:7" x14ac:dyDescent="0.2">
      <c r="G591" s="15"/>
    </row>
    <row r="592" spans="7:7" x14ac:dyDescent="0.2">
      <c r="G592" s="15"/>
    </row>
    <row r="593" spans="7:7" x14ac:dyDescent="0.2">
      <c r="G593" s="15"/>
    </row>
    <row r="594" spans="7:7" x14ac:dyDescent="0.2">
      <c r="G594" s="15"/>
    </row>
    <row r="595" spans="7:7" x14ac:dyDescent="0.2">
      <c r="G595" s="15"/>
    </row>
    <row r="596" spans="7:7" x14ac:dyDescent="0.2">
      <c r="G596" s="15"/>
    </row>
    <row r="597" spans="7:7" x14ac:dyDescent="0.2">
      <c r="G597" s="15"/>
    </row>
    <row r="598" spans="7:7" x14ac:dyDescent="0.2">
      <c r="G598" s="15"/>
    </row>
    <row r="599" spans="7:7" x14ac:dyDescent="0.2">
      <c r="G599" s="15"/>
    </row>
    <row r="600" spans="7:7" x14ac:dyDescent="0.2">
      <c r="G600" s="15"/>
    </row>
    <row r="601" spans="7:7" x14ac:dyDescent="0.2">
      <c r="G601" s="15"/>
    </row>
    <row r="602" spans="7:7" x14ac:dyDescent="0.2">
      <c r="G602" s="15"/>
    </row>
    <row r="603" spans="7:7" x14ac:dyDescent="0.2">
      <c r="G603" s="15"/>
    </row>
    <row r="604" spans="7:7" x14ac:dyDescent="0.2">
      <c r="G604" s="15"/>
    </row>
    <row r="605" spans="7:7" x14ac:dyDescent="0.2">
      <c r="G605" s="15"/>
    </row>
    <row r="606" spans="7:7" x14ac:dyDescent="0.2">
      <c r="G606" s="15"/>
    </row>
    <row r="607" spans="7:7" x14ac:dyDescent="0.2">
      <c r="G607" s="15"/>
    </row>
    <row r="608" spans="7:7" x14ac:dyDescent="0.2">
      <c r="G608" s="15"/>
    </row>
    <row r="609" spans="7:7" x14ac:dyDescent="0.2">
      <c r="G609" s="15"/>
    </row>
    <row r="610" spans="7:7" x14ac:dyDescent="0.2">
      <c r="G610" s="15"/>
    </row>
    <row r="611" spans="7:7" x14ac:dyDescent="0.2">
      <c r="G611" s="15"/>
    </row>
    <row r="612" spans="7:7" x14ac:dyDescent="0.2">
      <c r="G612" s="15"/>
    </row>
    <row r="613" spans="7:7" x14ac:dyDescent="0.2">
      <c r="G613" s="15"/>
    </row>
    <row r="614" spans="7:7" x14ac:dyDescent="0.2">
      <c r="G614" s="15"/>
    </row>
    <row r="615" spans="7:7" x14ac:dyDescent="0.2">
      <c r="G615" s="15"/>
    </row>
    <row r="616" spans="7:7" x14ac:dyDescent="0.2">
      <c r="G616" s="15"/>
    </row>
    <row r="617" spans="7:7" x14ac:dyDescent="0.2">
      <c r="G617" s="15"/>
    </row>
    <row r="618" spans="7:7" x14ac:dyDescent="0.2">
      <c r="G618" s="15"/>
    </row>
    <row r="619" spans="7:7" x14ac:dyDescent="0.2">
      <c r="G619" s="15"/>
    </row>
    <row r="620" spans="7:7" x14ac:dyDescent="0.2">
      <c r="G620" s="15"/>
    </row>
    <row r="621" spans="7:7" x14ac:dyDescent="0.2">
      <c r="G621" s="15"/>
    </row>
    <row r="622" spans="7:7" x14ac:dyDescent="0.2">
      <c r="G622" s="15"/>
    </row>
    <row r="623" spans="7:7" x14ac:dyDescent="0.2">
      <c r="G623" s="15"/>
    </row>
    <row r="624" spans="7:7" x14ac:dyDescent="0.2">
      <c r="G624" s="15"/>
    </row>
    <row r="625" spans="7:7" x14ac:dyDescent="0.2">
      <c r="G625" s="15"/>
    </row>
    <row r="626" spans="7:7" x14ac:dyDescent="0.2">
      <c r="G626" s="15"/>
    </row>
    <row r="627" spans="7:7" x14ac:dyDescent="0.2">
      <c r="G627" s="15"/>
    </row>
    <row r="628" spans="7:7" x14ac:dyDescent="0.2">
      <c r="G628" s="15"/>
    </row>
    <row r="629" spans="7:7" x14ac:dyDescent="0.2">
      <c r="G629" s="15"/>
    </row>
    <row r="630" spans="7:7" x14ac:dyDescent="0.2">
      <c r="G630" s="15"/>
    </row>
    <row r="631" spans="7:7" x14ac:dyDescent="0.2">
      <c r="G631" s="15"/>
    </row>
    <row r="632" spans="7:7" x14ac:dyDescent="0.2">
      <c r="G632" s="15"/>
    </row>
    <row r="633" spans="7:7" x14ac:dyDescent="0.2">
      <c r="G633" s="15"/>
    </row>
    <row r="634" spans="7:7" x14ac:dyDescent="0.2">
      <c r="G634" s="15"/>
    </row>
    <row r="635" spans="7:7" x14ac:dyDescent="0.2">
      <c r="G635" s="15"/>
    </row>
    <row r="636" spans="7:7" x14ac:dyDescent="0.2">
      <c r="G636" s="15"/>
    </row>
    <row r="637" spans="7:7" x14ac:dyDescent="0.2">
      <c r="G637" s="15"/>
    </row>
    <row r="638" spans="7:7" x14ac:dyDescent="0.2">
      <c r="G638" s="15"/>
    </row>
    <row r="639" spans="7:7" x14ac:dyDescent="0.2">
      <c r="G639" s="15"/>
    </row>
    <row r="640" spans="7:7" x14ac:dyDescent="0.2">
      <c r="G640" s="15"/>
    </row>
    <row r="641" spans="7:7" x14ac:dyDescent="0.2">
      <c r="G641" s="15"/>
    </row>
    <row r="642" spans="7:7" x14ac:dyDescent="0.2">
      <c r="G642" s="15"/>
    </row>
    <row r="643" spans="7:7" x14ac:dyDescent="0.2">
      <c r="G643" s="15"/>
    </row>
    <row r="644" spans="7:7" x14ac:dyDescent="0.2">
      <c r="G644" s="15"/>
    </row>
    <row r="645" spans="7:7" x14ac:dyDescent="0.2">
      <c r="G645" s="15"/>
    </row>
    <row r="646" spans="7:7" x14ac:dyDescent="0.2">
      <c r="G646" s="15"/>
    </row>
    <row r="647" spans="7:7" x14ac:dyDescent="0.2">
      <c r="G647" s="15"/>
    </row>
    <row r="648" spans="7:7" x14ac:dyDescent="0.2">
      <c r="G648" s="15"/>
    </row>
    <row r="649" spans="7:7" x14ac:dyDescent="0.2">
      <c r="G649" s="15"/>
    </row>
    <row r="650" spans="7:7" x14ac:dyDescent="0.2">
      <c r="G650" s="15"/>
    </row>
    <row r="651" spans="7:7" x14ac:dyDescent="0.2">
      <c r="G651" s="15"/>
    </row>
    <row r="652" spans="7:7" x14ac:dyDescent="0.2">
      <c r="G652" s="15"/>
    </row>
    <row r="653" spans="7:7" x14ac:dyDescent="0.2">
      <c r="G653" s="15"/>
    </row>
    <row r="654" spans="7:7" x14ac:dyDescent="0.2">
      <c r="G654" s="15"/>
    </row>
    <row r="655" spans="7:7" x14ac:dyDescent="0.2">
      <c r="G655" s="15"/>
    </row>
    <row r="656" spans="7:7" x14ac:dyDescent="0.2">
      <c r="G656" s="15"/>
    </row>
    <row r="657" spans="7:7" x14ac:dyDescent="0.2">
      <c r="G657" s="15"/>
    </row>
    <row r="658" spans="7:7" x14ac:dyDescent="0.2">
      <c r="G658" s="15"/>
    </row>
    <row r="659" spans="7:7" x14ac:dyDescent="0.2">
      <c r="G659" s="15"/>
    </row>
    <row r="660" spans="7:7" x14ac:dyDescent="0.2">
      <c r="G660" s="15"/>
    </row>
    <row r="661" spans="7:7" x14ac:dyDescent="0.2">
      <c r="G661" s="15"/>
    </row>
    <row r="662" spans="7:7" x14ac:dyDescent="0.2">
      <c r="G662" s="15"/>
    </row>
    <row r="663" spans="7:7" x14ac:dyDescent="0.2">
      <c r="G663" s="15"/>
    </row>
    <row r="664" spans="7:7" x14ac:dyDescent="0.2">
      <c r="G664" s="15"/>
    </row>
    <row r="665" spans="7:7" x14ac:dyDescent="0.2">
      <c r="G665" s="15"/>
    </row>
    <row r="666" spans="7:7" x14ac:dyDescent="0.2">
      <c r="G666" s="15"/>
    </row>
    <row r="667" spans="7:7" x14ac:dyDescent="0.2">
      <c r="G667" s="15"/>
    </row>
    <row r="668" spans="7:7" x14ac:dyDescent="0.2">
      <c r="G668" s="15"/>
    </row>
    <row r="669" spans="7:7" x14ac:dyDescent="0.2">
      <c r="G669" s="15"/>
    </row>
    <row r="670" spans="7:7" x14ac:dyDescent="0.2">
      <c r="G670" s="15"/>
    </row>
    <row r="671" spans="7:7" x14ac:dyDescent="0.2">
      <c r="G671" s="15"/>
    </row>
    <row r="672" spans="7:7" x14ac:dyDescent="0.2">
      <c r="G672" s="15"/>
    </row>
    <row r="673" spans="7:7" x14ac:dyDescent="0.2">
      <c r="G673" s="15"/>
    </row>
    <row r="674" spans="7:7" x14ac:dyDescent="0.2">
      <c r="G674" s="15"/>
    </row>
    <row r="675" spans="7:7" x14ac:dyDescent="0.2">
      <c r="G675" s="15"/>
    </row>
    <row r="676" spans="7:7" x14ac:dyDescent="0.2">
      <c r="G676" s="15"/>
    </row>
    <row r="677" spans="7:7" x14ac:dyDescent="0.2">
      <c r="G677" s="15"/>
    </row>
    <row r="678" spans="7:7" x14ac:dyDescent="0.2">
      <c r="G678" s="15"/>
    </row>
    <row r="679" spans="7:7" x14ac:dyDescent="0.2">
      <c r="G679" s="15"/>
    </row>
    <row r="680" spans="7:7" x14ac:dyDescent="0.2">
      <c r="G680" s="15"/>
    </row>
    <row r="681" spans="7:7" x14ac:dyDescent="0.2">
      <c r="G681" s="15"/>
    </row>
    <row r="682" spans="7:7" x14ac:dyDescent="0.2">
      <c r="G682" s="15"/>
    </row>
    <row r="683" spans="7:7" x14ac:dyDescent="0.2">
      <c r="G683" s="15"/>
    </row>
    <row r="684" spans="7:7" x14ac:dyDescent="0.2">
      <c r="G684" s="15"/>
    </row>
    <row r="685" spans="7:7" x14ac:dyDescent="0.2">
      <c r="G685" s="15"/>
    </row>
    <row r="686" spans="7:7" x14ac:dyDescent="0.2">
      <c r="G686" s="15"/>
    </row>
    <row r="687" spans="7:7" x14ac:dyDescent="0.2">
      <c r="G687" s="15"/>
    </row>
    <row r="688" spans="7:7" x14ac:dyDescent="0.2">
      <c r="G688" s="15"/>
    </row>
    <row r="689" spans="7:7" x14ac:dyDescent="0.2">
      <c r="G689" s="15"/>
    </row>
    <row r="690" spans="7:7" x14ac:dyDescent="0.2">
      <c r="G690" s="15"/>
    </row>
    <row r="691" spans="7:7" x14ac:dyDescent="0.2">
      <c r="G691" s="15"/>
    </row>
    <row r="692" spans="7:7" x14ac:dyDescent="0.2">
      <c r="G692" s="15"/>
    </row>
    <row r="693" spans="7:7" x14ac:dyDescent="0.2">
      <c r="G693" s="15"/>
    </row>
    <row r="694" spans="7:7" x14ac:dyDescent="0.2">
      <c r="G694" s="15"/>
    </row>
    <row r="695" spans="7:7" x14ac:dyDescent="0.2">
      <c r="G695" s="15"/>
    </row>
    <row r="696" spans="7:7" x14ac:dyDescent="0.2">
      <c r="G696" s="15"/>
    </row>
    <row r="697" spans="7:7" x14ac:dyDescent="0.2">
      <c r="G697" s="15"/>
    </row>
    <row r="698" spans="7:7" x14ac:dyDescent="0.2">
      <c r="G698" s="15"/>
    </row>
    <row r="699" spans="7:7" x14ac:dyDescent="0.2">
      <c r="G699" s="15"/>
    </row>
    <row r="700" spans="7:7" x14ac:dyDescent="0.2">
      <c r="G700" s="15"/>
    </row>
    <row r="701" spans="7:7" x14ac:dyDescent="0.2">
      <c r="G701" s="15"/>
    </row>
    <row r="702" spans="7:7" x14ac:dyDescent="0.2">
      <c r="G702" s="15"/>
    </row>
    <row r="703" spans="7:7" x14ac:dyDescent="0.2">
      <c r="G703" s="15"/>
    </row>
    <row r="704" spans="7:7" x14ac:dyDescent="0.2">
      <c r="G704" s="15"/>
    </row>
    <row r="705" spans="7:7" x14ac:dyDescent="0.2">
      <c r="G705" s="15"/>
    </row>
    <row r="706" spans="7:7" x14ac:dyDescent="0.2">
      <c r="G706" s="15"/>
    </row>
    <row r="707" spans="7:7" x14ac:dyDescent="0.2">
      <c r="G707" s="15"/>
    </row>
    <row r="708" spans="7:7" x14ac:dyDescent="0.2">
      <c r="G708" s="15"/>
    </row>
    <row r="709" spans="7:7" x14ac:dyDescent="0.2">
      <c r="G709" s="15"/>
    </row>
    <row r="710" spans="7:7" x14ac:dyDescent="0.2">
      <c r="G710" s="15"/>
    </row>
    <row r="711" spans="7:7" x14ac:dyDescent="0.2">
      <c r="G711" s="15"/>
    </row>
    <row r="712" spans="7:7" x14ac:dyDescent="0.2">
      <c r="G712" s="15"/>
    </row>
    <row r="713" spans="7:7" x14ac:dyDescent="0.2">
      <c r="G713" s="15"/>
    </row>
    <row r="714" spans="7:7" x14ac:dyDescent="0.2">
      <c r="G714" s="15"/>
    </row>
    <row r="715" spans="7:7" x14ac:dyDescent="0.2">
      <c r="G715" s="15"/>
    </row>
    <row r="716" spans="7:7" x14ac:dyDescent="0.2">
      <c r="G716" s="15"/>
    </row>
    <row r="717" spans="7:7" x14ac:dyDescent="0.2">
      <c r="G717" s="15"/>
    </row>
    <row r="718" spans="7:7" x14ac:dyDescent="0.2">
      <c r="G718" s="15"/>
    </row>
    <row r="719" spans="7:7" x14ac:dyDescent="0.2">
      <c r="G719" s="15"/>
    </row>
    <row r="720" spans="7:7" x14ac:dyDescent="0.2">
      <c r="G720" s="15"/>
    </row>
    <row r="721" spans="7:7" x14ac:dyDescent="0.2">
      <c r="G721" s="15"/>
    </row>
    <row r="722" spans="7:7" x14ac:dyDescent="0.2">
      <c r="G722" s="15"/>
    </row>
    <row r="723" spans="7:7" x14ac:dyDescent="0.2">
      <c r="G723" s="15"/>
    </row>
    <row r="724" spans="7:7" x14ac:dyDescent="0.2">
      <c r="G724" s="15"/>
    </row>
    <row r="725" spans="7:7" x14ac:dyDescent="0.2">
      <c r="G725" s="15"/>
    </row>
    <row r="726" spans="7:7" x14ac:dyDescent="0.2">
      <c r="G726" s="15"/>
    </row>
    <row r="727" spans="7:7" x14ac:dyDescent="0.2">
      <c r="G727" s="15"/>
    </row>
    <row r="728" spans="7:7" x14ac:dyDescent="0.2">
      <c r="G728" s="15"/>
    </row>
    <row r="729" spans="7:7" x14ac:dyDescent="0.2">
      <c r="G729" s="15"/>
    </row>
    <row r="730" spans="7:7" x14ac:dyDescent="0.2">
      <c r="G730" s="15"/>
    </row>
    <row r="731" spans="7:7" x14ac:dyDescent="0.2">
      <c r="G731" s="15"/>
    </row>
    <row r="732" spans="7:7" x14ac:dyDescent="0.2">
      <c r="G732" s="15"/>
    </row>
    <row r="733" spans="7:7" x14ac:dyDescent="0.2">
      <c r="G733" s="15"/>
    </row>
    <row r="734" spans="7:7" x14ac:dyDescent="0.2">
      <c r="G734" s="15"/>
    </row>
    <row r="735" spans="7:7" x14ac:dyDescent="0.2">
      <c r="G735" s="15"/>
    </row>
    <row r="736" spans="7:7" x14ac:dyDescent="0.2">
      <c r="G736" s="15"/>
    </row>
    <row r="737" spans="7:7" x14ac:dyDescent="0.2">
      <c r="G737" s="15"/>
    </row>
    <row r="738" spans="7:7" x14ac:dyDescent="0.2">
      <c r="G738" s="15"/>
    </row>
    <row r="739" spans="7:7" x14ac:dyDescent="0.2">
      <c r="G739" s="15"/>
    </row>
    <row r="740" spans="7:7" x14ac:dyDescent="0.2">
      <c r="G740" s="15"/>
    </row>
    <row r="741" spans="7:7" x14ac:dyDescent="0.2">
      <c r="G741" s="15"/>
    </row>
    <row r="742" spans="7:7" x14ac:dyDescent="0.2">
      <c r="G742" s="15"/>
    </row>
    <row r="743" spans="7:7" x14ac:dyDescent="0.2">
      <c r="G743" s="15"/>
    </row>
    <row r="744" spans="7:7" x14ac:dyDescent="0.2">
      <c r="G744" s="15"/>
    </row>
    <row r="745" spans="7:7" x14ac:dyDescent="0.2">
      <c r="G745" s="15"/>
    </row>
    <row r="746" spans="7:7" x14ac:dyDescent="0.2">
      <c r="G746" s="15"/>
    </row>
    <row r="747" spans="7:7" x14ac:dyDescent="0.2">
      <c r="G747" s="15"/>
    </row>
    <row r="748" spans="7:7" x14ac:dyDescent="0.2">
      <c r="G748" s="15"/>
    </row>
    <row r="749" spans="7:7" x14ac:dyDescent="0.2">
      <c r="G749" s="15"/>
    </row>
    <row r="750" spans="7:7" x14ac:dyDescent="0.2">
      <c r="G750" s="15"/>
    </row>
    <row r="751" spans="7:7" x14ac:dyDescent="0.2">
      <c r="G751" s="15"/>
    </row>
    <row r="752" spans="7:7" x14ac:dyDescent="0.2">
      <c r="G752" s="15"/>
    </row>
    <row r="753" spans="7:7" x14ac:dyDescent="0.2">
      <c r="G753" s="15"/>
    </row>
    <row r="754" spans="7:7" x14ac:dyDescent="0.2">
      <c r="G754" s="15"/>
    </row>
    <row r="755" spans="7:7" x14ac:dyDescent="0.2">
      <c r="G755" s="15"/>
    </row>
    <row r="756" spans="7:7" x14ac:dyDescent="0.2">
      <c r="G756" s="15"/>
    </row>
    <row r="757" spans="7:7" x14ac:dyDescent="0.2">
      <c r="G757" s="15"/>
    </row>
    <row r="758" spans="7:7" x14ac:dyDescent="0.2">
      <c r="G758" s="15"/>
    </row>
    <row r="759" spans="7:7" x14ac:dyDescent="0.2">
      <c r="G759" s="15"/>
    </row>
    <row r="760" spans="7:7" x14ac:dyDescent="0.2">
      <c r="G760" s="15"/>
    </row>
    <row r="761" spans="7:7" x14ac:dyDescent="0.2">
      <c r="G761" s="15"/>
    </row>
    <row r="762" spans="7:7" x14ac:dyDescent="0.2">
      <c r="G762" s="15"/>
    </row>
    <row r="763" spans="7:7" x14ac:dyDescent="0.2">
      <c r="G763" s="15"/>
    </row>
    <row r="764" spans="7:7" x14ac:dyDescent="0.2">
      <c r="G764" s="15"/>
    </row>
    <row r="765" spans="7:7" x14ac:dyDescent="0.2">
      <c r="G765" s="15"/>
    </row>
    <row r="766" spans="7:7" x14ac:dyDescent="0.2">
      <c r="G766" s="15"/>
    </row>
    <row r="767" spans="7:7" x14ac:dyDescent="0.2">
      <c r="G767" s="15"/>
    </row>
    <row r="768" spans="7:7" x14ac:dyDescent="0.2">
      <c r="G768" s="15"/>
    </row>
    <row r="769" spans="7:7" x14ac:dyDescent="0.2">
      <c r="G769" s="15"/>
    </row>
    <row r="770" spans="7:7" x14ac:dyDescent="0.2">
      <c r="G770" s="15"/>
    </row>
    <row r="771" spans="7:7" x14ac:dyDescent="0.2">
      <c r="G771" s="15"/>
    </row>
    <row r="772" spans="7:7" x14ac:dyDescent="0.2">
      <c r="G772" s="15"/>
    </row>
    <row r="773" spans="7:7" x14ac:dyDescent="0.2">
      <c r="G773" s="15"/>
    </row>
    <row r="774" spans="7:7" x14ac:dyDescent="0.2">
      <c r="G774" s="15"/>
    </row>
    <row r="775" spans="7:7" x14ac:dyDescent="0.2">
      <c r="G775" s="15"/>
    </row>
    <row r="776" spans="7:7" x14ac:dyDescent="0.2">
      <c r="G776" s="15"/>
    </row>
    <row r="777" spans="7:7" x14ac:dyDescent="0.2">
      <c r="G777" s="15"/>
    </row>
    <row r="778" spans="7:7" x14ac:dyDescent="0.2">
      <c r="G778" s="15"/>
    </row>
    <row r="779" spans="7:7" x14ac:dyDescent="0.2">
      <c r="G779" s="15"/>
    </row>
    <row r="780" spans="7:7" x14ac:dyDescent="0.2">
      <c r="G780" s="15"/>
    </row>
    <row r="781" spans="7:7" x14ac:dyDescent="0.2">
      <c r="G781" s="15"/>
    </row>
    <row r="782" spans="7:7" x14ac:dyDescent="0.2">
      <c r="G782" s="15"/>
    </row>
    <row r="783" spans="7:7" x14ac:dyDescent="0.2">
      <c r="G783" s="15"/>
    </row>
    <row r="784" spans="7:7" x14ac:dyDescent="0.2">
      <c r="G784" s="15"/>
    </row>
    <row r="785" spans="7:7" x14ac:dyDescent="0.2">
      <c r="G785" s="15"/>
    </row>
    <row r="786" spans="7:7" x14ac:dyDescent="0.2">
      <c r="G786" s="15"/>
    </row>
    <row r="787" spans="7:7" x14ac:dyDescent="0.2">
      <c r="G787" s="15"/>
    </row>
    <row r="788" spans="7:7" x14ac:dyDescent="0.2">
      <c r="G788" s="15"/>
    </row>
    <row r="789" spans="7:7" x14ac:dyDescent="0.2">
      <c r="G789" s="15"/>
    </row>
    <row r="790" spans="7:7" x14ac:dyDescent="0.2">
      <c r="G790" s="15"/>
    </row>
    <row r="791" spans="7:7" x14ac:dyDescent="0.2">
      <c r="G791" s="15"/>
    </row>
    <row r="792" spans="7:7" x14ac:dyDescent="0.2">
      <c r="G792" s="15"/>
    </row>
    <row r="793" spans="7:7" x14ac:dyDescent="0.2">
      <c r="G793" s="15"/>
    </row>
    <row r="794" spans="7:7" x14ac:dyDescent="0.2">
      <c r="G794" s="15"/>
    </row>
    <row r="795" spans="7:7" x14ac:dyDescent="0.2">
      <c r="G795" s="15"/>
    </row>
    <row r="796" spans="7:7" x14ac:dyDescent="0.2">
      <c r="G796" s="15"/>
    </row>
    <row r="797" spans="7:7" x14ac:dyDescent="0.2">
      <c r="G797" s="15"/>
    </row>
    <row r="798" spans="7:7" x14ac:dyDescent="0.2">
      <c r="G798" s="15"/>
    </row>
    <row r="799" spans="7:7" x14ac:dyDescent="0.2">
      <c r="G799" s="15"/>
    </row>
    <row r="800" spans="7:7" x14ac:dyDescent="0.2">
      <c r="G800" s="15"/>
    </row>
    <row r="801" spans="7:7" x14ac:dyDescent="0.2">
      <c r="G801" s="15"/>
    </row>
    <row r="802" spans="7:7" x14ac:dyDescent="0.2">
      <c r="G802" s="15"/>
    </row>
    <row r="803" spans="7:7" x14ac:dyDescent="0.2">
      <c r="G803" s="15"/>
    </row>
    <row r="804" spans="7:7" x14ac:dyDescent="0.2">
      <c r="G804" s="15"/>
    </row>
    <row r="805" spans="7:7" x14ac:dyDescent="0.2">
      <c r="G805" s="15"/>
    </row>
    <row r="806" spans="7:7" x14ac:dyDescent="0.2">
      <c r="G806" s="15"/>
    </row>
    <row r="807" spans="7:7" x14ac:dyDescent="0.2">
      <c r="G807" s="15"/>
    </row>
    <row r="808" spans="7:7" x14ac:dyDescent="0.2">
      <c r="G808" s="15"/>
    </row>
    <row r="809" spans="7:7" x14ac:dyDescent="0.2">
      <c r="G809" s="15"/>
    </row>
    <row r="810" spans="7:7" x14ac:dyDescent="0.2">
      <c r="G810" s="15"/>
    </row>
    <row r="811" spans="7:7" x14ac:dyDescent="0.2">
      <c r="G811" s="15"/>
    </row>
    <row r="812" spans="7:7" x14ac:dyDescent="0.2">
      <c r="G812" s="15"/>
    </row>
    <row r="813" spans="7:7" x14ac:dyDescent="0.2">
      <c r="G813" s="15"/>
    </row>
    <row r="814" spans="7:7" x14ac:dyDescent="0.2">
      <c r="G814" s="15"/>
    </row>
    <row r="815" spans="7:7" x14ac:dyDescent="0.2">
      <c r="G815" s="15"/>
    </row>
    <row r="816" spans="7:7" x14ac:dyDescent="0.2">
      <c r="G816" s="15"/>
    </row>
    <row r="817" spans="7:7" x14ac:dyDescent="0.2">
      <c r="G817" s="15"/>
    </row>
    <row r="818" spans="7:7" x14ac:dyDescent="0.2">
      <c r="G818" s="15"/>
    </row>
    <row r="819" spans="7:7" x14ac:dyDescent="0.2">
      <c r="G819" s="15"/>
    </row>
    <row r="820" spans="7:7" x14ac:dyDescent="0.2">
      <c r="G820" s="15"/>
    </row>
    <row r="821" spans="7:7" x14ac:dyDescent="0.2">
      <c r="G821" s="15"/>
    </row>
    <row r="822" spans="7:7" x14ac:dyDescent="0.2">
      <c r="G822" s="15"/>
    </row>
    <row r="823" spans="7:7" x14ac:dyDescent="0.2">
      <c r="G823" s="15"/>
    </row>
    <row r="824" spans="7:7" x14ac:dyDescent="0.2">
      <c r="G824" s="15"/>
    </row>
    <row r="825" spans="7:7" x14ac:dyDescent="0.2">
      <c r="G825" s="15"/>
    </row>
    <row r="826" spans="7:7" x14ac:dyDescent="0.2">
      <c r="G826" s="15"/>
    </row>
    <row r="827" spans="7:7" x14ac:dyDescent="0.2">
      <c r="G827" s="15"/>
    </row>
    <row r="828" spans="7:7" x14ac:dyDescent="0.2">
      <c r="G828" s="15"/>
    </row>
    <row r="829" spans="7:7" x14ac:dyDescent="0.2">
      <c r="G829" s="15"/>
    </row>
    <row r="830" spans="7:7" x14ac:dyDescent="0.2">
      <c r="G830" s="15"/>
    </row>
    <row r="831" spans="7:7" x14ac:dyDescent="0.2">
      <c r="G831" s="15"/>
    </row>
    <row r="832" spans="7:7" x14ac:dyDescent="0.2">
      <c r="G832" s="15"/>
    </row>
    <row r="833" spans="7:7" x14ac:dyDescent="0.2">
      <c r="G833" s="15"/>
    </row>
    <row r="834" spans="7:7" x14ac:dyDescent="0.2">
      <c r="G834" s="15"/>
    </row>
    <row r="835" spans="7:7" x14ac:dyDescent="0.2">
      <c r="G835" s="15"/>
    </row>
    <row r="836" spans="7:7" x14ac:dyDescent="0.2">
      <c r="G836" s="15"/>
    </row>
    <row r="837" spans="7:7" x14ac:dyDescent="0.2">
      <c r="G837" s="15"/>
    </row>
    <row r="838" spans="7:7" x14ac:dyDescent="0.2">
      <c r="G838" s="15"/>
    </row>
    <row r="839" spans="7:7" x14ac:dyDescent="0.2">
      <c r="G839" s="15"/>
    </row>
    <row r="840" spans="7:7" x14ac:dyDescent="0.2">
      <c r="G840" s="15"/>
    </row>
    <row r="841" spans="7:7" x14ac:dyDescent="0.2">
      <c r="G841" s="15"/>
    </row>
    <row r="842" spans="7:7" x14ac:dyDescent="0.2">
      <c r="G842" s="15"/>
    </row>
    <row r="843" spans="7:7" x14ac:dyDescent="0.2">
      <c r="G843" s="15"/>
    </row>
    <row r="844" spans="7:7" x14ac:dyDescent="0.2">
      <c r="G844" s="15"/>
    </row>
    <row r="845" spans="7:7" x14ac:dyDescent="0.2">
      <c r="G845" s="15"/>
    </row>
    <row r="846" spans="7:7" x14ac:dyDescent="0.2">
      <c r="G846" s="15"/>
    </row>
    <row r="847" spans="7:7" x14ac:dyDescent="0.2">
      <c r="G847" s="15"/>
    </row>
    <row r="848" spans="7:7" x14ac:dyDescent="0.2">
      <c r="G848" s="15"/>
    </row>
    <row r="849" spans="7:7" x14ac:dyDescent="0.2">
      <c r="G849" s="15"/>
    </row>
    <row r="850" spans="7:7" x14ac:dyDescent="0.2">
      <c r="G850" s="15"/>
    </row>
    <row r="851" spans="7:7" x14ac:dyDescent="0.2">
      <c r="G851" s="15"/>
    </row>
    <row r="852" spans="7:7" x14ac:dyDescent="0.2">
      <c r="G852" s="15"/>
    </row>
    <row r="853" spans="7:7" x14ac:dyDescent="0.2">
      <c r="G853" s="15"/>
    </row>
    <row r="854" spans="7:7" x14ac:dyDescent="0.2">
      <c r="G854" s="15"/>
    </row>
    <row r="855" spans="7:7" x14ac:dyDescent="0.2">
      <c r="G855" s="15"/>
    </row>
    <row r="856" spans="7:7" x14ac:dyDescent="0.2">
      <c r="G856" s="15"/>
    </row>
    <row r="857" spans="7:7" x14ac:dyDescent="0.2">
      <c r="G857" s="15"/>
    </row>
    <row r="858" spans="7:7" x14ac:dyDescent="0.2">
      <c r="G858" s="15"/>
    </row>
    <row r="859" spans="7:7" x14ac:dyDescent="0.2">
      <c r="G859" s="15"/>
    </row>
    <row r="860" spans="7:7" x14ac:dyDescent="0.2">
      <c r="G860" s="15"/>
    </row>
    <row r="861" spans="7:7" x14ac:dyDescent="0.2">
      <c r="G861" s="15"/>
    </row>
    <row r="862" spans="7:7" x14ac:dyDescent="0.2">
      <c r="G862" s="15"/>
    </row>
    <row r="863" spans="7:7" x14ac:dyDescent="0.2">
      <c r="G863" s="15"/>
    </row>
    <row r="864" spans="7:7" x14ac:dyDescent="0.2">
      <c r="G864" s="15"/>
    </row>
    <row r="865" spans="7:7" x14ac:dyDescent="0.2">
      <c r="G865" s="15"/>
    </row>
    <row r="866" spans="7:7" x14ac:dyDescent="0.2">
      <c r="G866" s="15"/>
    </row>
    <row r="867" spans="7:7" x14ac:dyDescent="0.2">
      <c r="G867" s="15"/>
    </row>
    <row r="868" spans="7:7" x14ac:dyDescent="0.2">
      <c r="G868" s="15"/>
    </row>
    <row r="869" spans="7:7" x14ac:dyDescent="0.2">
      <c r="G869" s="15"/>
    </row>
    <row r="870" spans="7:7" x14ac:dyDescent="0.2">
      <c r="G870" s="15"/>
    </row>
    <row r="871" spans="7:7" x14ac:dyDescent="0.2">
      <c r="G871" s="15"/>
    </row>
    <row r="872" spans="7:7" x14ac:dyDescent="0.2">
      <c r="G872" s="15"/>
    </row>
    <row r="873" spans="7:7" x14ac:dyDescent="0.2">
      <c r="G873" s="15"/>
    </row>
    <row r="874" spans="7:7" x14ac:dyDescent="0.2">
      <c r="G874" s="15"/>
    </row>
    <row r="875" spans="7:7" x14ac:dyDescent="0.2">
      <c r="G875" s="15"/>
    </row>
    <row r="876" spans="7:7" x14ac:dyDescent="0.2">
      <c r="G876" s="15"/>
    </row>
    <row r="877" spans="7:7" x14ac:dyDescent="0.2">
      <c r="G877" s="15"/>
    </row>
    <row r="878" spans="7:7" x14ac:dyDescent="0.2">
      <c r="G878" s="15"/>
    </row>
    <row r="879" spans="7:7" x14ac:dyDescent="0.2">
      <c r="G879" s="15"/>
    </row>
    <row r="880" spans="7:7" x14ac:dyDescent="0.2">
      <c r="G880" s="15"/>
    </row>
    <row r="881" spans="7:7" x14ac:dyDescent="0.2">
      <c r="G881" s="15"/>
    </row>
    <row r="882" spans="7:7" x14ac:dyDescent="0.2">
      <c r="G882" s="15"/>
    </row>
    <row r="883" spans="7:7" x14ac:dyDescent="0.2">
      <c r="G883" s="15"/>
    </row>
    <row r="884" spans="7:7" x14ac:dyDescent="0.2">
      <c r="G884" s="15"/>
    </row>
    <row r="885" spans="7:7" x14ac:dyDescent="0.2">
      <c r="G885" s="15"/>
    </row>
    <row r="886" spans="7:7" x14ac:dyDescent="0.2">
      <c r="G886" s="15"/>
    </row>
    <row r="887" spans="7:7" x14ac:dyDescent="0.2">
      <c r="G887" s="15"/>
    </row>
    <row r="888" spans="7:7" x14ac:dyDescent="0.2">
      <c r="G888" s="15"/>
    </row>
    <row r="889" spans="7:7" x14ac:dyDescent="0.2">
      <c r="G889" s="15"/>
    </row>
    <row r="890" spans="7:7" x14ac:dyDescent="0.2">
      <c r="G890" s="15"/>
    </row>
    <row r="891" spans="7:7" x14ac:dyDescent="0.2">
      <c r="G891" s="15"/>
    </row>
    <row r="892" spans="7:7" x14ac:dyDescent="0.2">
      <c r="G892" s="15"/>
    </row>
    <row r="893" spans="7:7" x14ac:dyDescent="0.2">
      <c r="G893" s="15"/>
    </row>
    <row r="894" spans="7:7" x14ac:dyDescent="0.2">
      <c r="G894" s="15"/>
    </row>
    <row r="895" spans="7:7" x14ac:dyDescent="0.2">
      <c r="G895" s="15"/>
    </row>
    <row r="896" spans="7:7" x14ac:dyDescent="0.2">
      <c r="G896" s="15"/>
    </row>
    <row r="897" spans="7:7" x14ac:dyDescent="0.2">
      <c r="G897" s="15"/>
    </row>
    <row r="898" spans="7:7" x14ac:dyDescent="0.2">
      <c r="G898" s="15"/>
    </row>
    <row r="899" spans="7:7" x14ac:dyDescent="0.2">
      <c r="G899" s="15"/>
    </row>
    <row r="900" spans="7:7" x14ac:dyDescent="0.2">
      <c r="G900" s="15"/>
    </row>
    <row r="901" spans="7:7" x14ac:dyDescent="0.2">
      <c r="G901" s="15"/>
    </row>
    <row r="902" spans="7:7" x14ac:dyDescent="0.2">
      <c r="G902" s="15"/>
    </row>
    <row r="903" spans="7:7" x14ac:dyDescent="0.2">
      <c r="G903" s="15"/>
    </row>
    <row r="904" spans="7:7" x14ac:dyDescent="0.2">
      <c r="G904" s="15"/>
    </row>
    <row r="905" spans="7:7" x14ac:dyDescent="0.2">
      <c r="G905" s="15"/>
    </row>
    <row r="906" spans="7:7" x14ac:dyDescent="0.2">
      <c r="G906" s="15"/>
    </row>
    <row r="907" spans="7:7" x14ac:dyDescent="0.2">
      <c r="G907" s="15"/>
    </row>
    <row r="908" spans="7:7" x14ac:dyDescent="0.2">
      <c r="G908" s="15"/>
    </row>
    <row r="909" spans="7:7" x14ac:dyDescent="0.2">
      <c r="G909" s="15"/>
    </row>
    <row r="910" spans="7:7" x14ac:dyDescent="0.2">
      <c r="G910" s="15"/>
    </row>
    <row r="911" spans="7:7" x14ac:dyDescent="0.2">
      <c r="G911" s="15"/>
    </row>
    <row r="912" spans="7:7" x14ac:dyDescent="0.2">
      <c r="G912" s="15"/>
    </row>
    <row r="913" spans="7:7" x14ac:dyDescent="0.2">
      <c r="G913" s="15"/>
    </row>
    <row r="914" spans="7:7" x14ac:dyDescent="0.2">
      <c r="G914" s="15"/>
    </row>
    <row r="915" spans="7:7" x14ac:dyDescent="0.2">
      <c r="G915" s="15"/>
    </row>
    <row r="916" spans="7:7" x14ac:dyDescent="0.2">
      <c r="G916" s="15"/>
    </row>
    <row r="917" spans="7:7" x14ac:dyDescent="0.2">
      <c r="G917" s="15"/>
    </row>
    <row r="918" spans="7:7" x14ac:dyDescent="0.2">
      <c r="G918" s="15"/>
    </row>
    <row r="919" spans="7:7" x14ac:dyDescent="0.2">
      <c r="G919" s="15"/>
    </row>
    <row r="920" spans="7:7" x14ac:dyDescent="0.2">
      <c r="G920" s="15"/>
    </row>
    <row r="921" spans="7:7" x14ac:dyDescent="0.2">
      <c r="G921" s="15"/>
    </row>
    <row r="922" spans="7:7" x14ac:dyDescent="0.2">
      <c r="G922" s="15"/>
    </row>
    <row r="923" spans="7:7" x14ac:dyDescent="0.2">
      <c r="G923" s="15"/>
    </row>
    <row r="924" spans="7:7" x14ac:dyDescent="0.2">
      <c r="G924" s="15"/>
    </row>
    <row r="925" spans="7:7" x14ac:dyDescent="0.2">
      <c r="G925" s="15"/>
    </row>
    <row r="926" spans="7:7" x14ac:dyDescent="0.2">
      <c r="G926" s="15"/>
    </row>
    <row r="927" spans="7:7" x14ac:dyDescent="0.2">
      <c r="G927" s="15"/>
    </row>
    <row r="928" spans="7:7" x14ac:dyDescent="0.2">
      <c r="G928" s="15"/>
    </row>
    <row r="929" spans="7:7" x14ac:dyDescent="0.2">
      <c r="G929" s="15"/>
    </row>
    <row r="930" spans="7:7" x14ac:dyDescent="0.2">
      <c r="G930" s="15"/>
    </row>
    <row r="931" spans="7:7" x14ac:dyDescent="0.2">
      <c r="G931" s="15"/>
    </row>
    <row r="932" spans="7:7" x14ac:dyDescent="0.2">
      <c r="G932" s="15"/>
    </row>
    <row r="933" spans="7:7" x14ac:dyDescent="0.2">
      <c r="G933" s="15"/>
    </row>
    <row r="934" spans="7:7" x14ac:dyDescent="0.2">
      <c r="G934" s="15"/>
    </row>
    <row r="935" spans="7:7" x14ac:dyDescent="0.2">
      <c r="G935" s="15"/>
    </row>
    <row r="936" spans="7:7" x14ac:dyDescent="0.2">
      <c r="G936" s="15"/>
    </row>
    <row r="937" spans="7:7" x14ac:dyDescent="0.2">
      <c r="G937" s="15"/>
    </row>
    <row r="938" spans="7:7" x14ac:dyDescent="0.2">
      <c r="G938" s="15"/>
    </row>
    <row r="939" spans="7:7" x14ac:dyDescent="0.2">
      <c r="G939" s="15"/>
    </row>
    <row r="940" spans="7:7" x14ac:dyDescent="0.2">
      <c r="G940" s="15"/>
    </row>
    <row r="941" spans="7:7" x14ac:dyDescent="0.2">
      <c r="G941" s="15"/>
    </row>
    <row r="942" spans="7:7" x14ac:dyDescent="0.2">
      <c r="G942" s="15"/>
    </row>
  </sheetData>
  <autoFilter ref="B1:W1" xr:uid="{00000000-0009-0000-0000-000000000000}"/>
  <sortState xmlns:xlrd2="http://schemas.microsoft.com/office/spreadsheetml/2017/richdata2" ref="A2:X942">
    <sortCondition ref="D2:D94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CUMV data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2026-05-25T14:01:13Z</dcterms:modified>
</cp:coreProperties>
</file>