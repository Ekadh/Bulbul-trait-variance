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F76F97E3-660F-B24E-BD56-B60C0F265D89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80" i="1" l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 l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 l="1"/>
  <c r="R10" i="1"/>
  <c r="R9" i="1"/>
  <c r="R8" i="1"/>
  <c r="R7" i="1"/>
  <c r="R6" i="1"/>
  <c r="R5" i="1"/>
  <c r="R4" i="1"/>
  <c r="R3" i="1"/>
  <c r="S2" i="1"/>
</calcChain>
</file>

<file path=xl/sharedStrings.xml><?xml version="1.0" encoding="utf-8"?>
<sst xmlns="http://schemas.openxmlformats.org/spreadsheetml/2006/main" count="23524" uniqueCount="9914">
  <si>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</si>
  <si>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</si>
  <si>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</si>
  <si>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</si>
  <si>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</si>
  <si>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</si>
  <si>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</si>
  <si>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</si>
  <si>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</si>
  <si>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</si>
  <si>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</si>
  <si>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</si>
  <si>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</si>
  <si>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</si>
  <si>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</si>
  <si>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</si>
  <si>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</si>
  <si>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</si>
  <si>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</si>
  <si>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</si>
  <si>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</si>
  <si>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</si>
  <si>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</si>
  <si>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</si>
  <si>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</si>
  <si>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</si>
  <si>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</si>
  <si>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</si>
  <si>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</si>
  <si>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</si>
  <si>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</si>
  <si>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</si>
  <si>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</si>
  <si>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</si>
  <si>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</si>
  <si>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</si>
  <si>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</si>
  <si>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</si>
  <si>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</si>
  <si>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</si>
  <si>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</si>
  <si>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</si>
  <si>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</si>
  <si>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</si>
  <si>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</si>
  <si>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</si>
  <si>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</si>
  <si>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</si>
  <si>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</si>
  <si>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</si>
  <si>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</si>
  <si>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</si>
  <si>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</si>
  <si>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</si>
  <si>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</si>
  <si>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</si>
  <si>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</si>
  <si>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</si>
  <si>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</si>
  <si>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</si>
  <si>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</si>
  <si>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</si>
  <si>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</si>
  <si>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</si>
  <si>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</si>
  <si>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</si>
  <si>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</si>
  <si>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</si>
  <si>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</si>
  <si>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</si>
  <si>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</si>
  <si>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</si>
  <si>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</si>
  <si>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</si>
  <si>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</si>
  <si>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</si>
  <si>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</si>
  <si>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</si>
  <si>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</si>
  <si>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</si>
  <si>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</si>
  <si>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</si>
  <si>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</si>
  <si>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</si>
  <si>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</si>
  <si>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</si>
  <si>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</si>
  <si>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</si>
  <si>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</si>
  <si>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</si>
  <si>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</si>
  <si>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</si>
  <si>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</si>
  <si>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</si>
  <si>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</si>
  <si>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</si>
  <si>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</si>
  <si>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</si>
  <si>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</si>
  <si>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</si>
  <si>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</si>
  <si>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</si>
  <si>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</si>
  <si>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</si>
  <si>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</si>
  <si>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</si>
  <si>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</si>
  <si>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</si>
  <si>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</si>
  <si>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</si>
  <si>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</si>
  <si>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</si>
  <si>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</si>
  <si>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</si>
  <si>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</si>
  <si>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</si>
  <si>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</si>
  <si>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</si>
  <si>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</si>
  <si>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</si>
  <si>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</si>
  <si>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</si>
  <si>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</si>
  <si>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</si>
  <si>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</si>
  <si>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</si>
  <si>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</si>
  <si>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</si>
  <si>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</si>
  <si>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</si>
  <si>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</si>
  <si>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</si>
  <si>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</si>
  <si>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</si>
  <si>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</si>
  <si>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</si>
  <si>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</si>
  <si>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</si>
  <si>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</si>
  <si>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</si>
  <si>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</si>
  <si>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</si>
  <si>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</si>
  <si>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</si>
  <si>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</si>
  <si>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</si>
  <si>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</si>
  <si>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</si>
  <si>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</si>
  <si>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</si>
  <si>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</si>
  <si>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</si>
  <si>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</si>
  <si>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</si>
  <si>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</si>
  <si>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</si>
  <si>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</si>
  <si>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</si>
  <si>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</si>
  <si>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</si>
  <si>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</si>
  <si>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</si>
  <si>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</si>
  <si>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</si>
  <si>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</si>
  <si>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</si>
  <si>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</si>
  <si>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</si>
  <si>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</si>
  <si>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</si>
  <si>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</si>
  <si>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</si>
  <si>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</si>
  <si>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</si>
  <si>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</si>
  <si>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</si>
  <si>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</si>
  <si>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</si>
  <si>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</si>
  <si>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</si>
  <si>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</si>
  <si>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</si>
  <si>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</si>
  <si>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</si>
  <si>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</si>
  <si>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</si>
  <si>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</si>
  <si>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</si>
  <si>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</si>
  <si>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</si>
  <si>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</si>
  <si>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</si>
  <si>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</si>
  <si>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</si>
  <si>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</si>
  <si>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</si>
  <si>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</si>
  <si>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</si>
  <si>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</si>
  <si>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</si>
  <si>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</si>
  <si>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</si>
  <si>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</si>
  <si>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</si>
  <si>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</si>
  <si>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</si>
  <si>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</si>
  <si>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</si>
  <si>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</si>
  <si>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</si>
  <si>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</si>
  <si>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</si>
  <si>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</si>
  <si>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</si>
  <si>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</si>
  <si>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</si>
  <si>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</si>
  <si>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</si>
  <si>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</si>
  <si>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</si>
  <si>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</si>
  <si>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</si>
  <si>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</si>
  <si>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</si>
  <si>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</si>
  <si>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</si>
  <si>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</si>
  <si>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</si>
  <si>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</si>
  <si>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</si>
  <si>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</si>
  <si>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</si>
  <si>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</si>
  <si>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</si>
  <si>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</si>
  <si>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</si>
  <si>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</si>
  <si>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</si>
  <si>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</si>
  <si>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</si>
  <si>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</si>
  <si>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</si>
  <si>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</si>
  <si>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</si>
  <si>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</si>
  <si>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</si>
  <si>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</si>
  <si>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</si>
  <si>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</si>
  <si>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</si>
  <si>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</si>
  <si>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</si>
  <si>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</si>
  <si>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</si>
  <si>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</si>
  <si>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</si>
  <si>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</si>
  <si>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</si>
  <si>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</si>
  <si>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</si>
  <si>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</si>
  <si>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</si>
  <si>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</si>
  <si>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</si>
  <si>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</si>
  <si>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</si>
  <si>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</si>
  <si>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</si>
  <si>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</si>
  <si>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</si>
  <si>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</si>
  <si>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</si>
  <si>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</si>
  <si>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</si>
  <si>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</si>
  <si>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</si>
  <si>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</si>
  <si>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</si>
  <si>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</si>
  <si>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</si>
  <si>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</si>
  <si>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</si>
  <si>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</si>
  <si>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</si>
  <si>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</si>
  <si>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</si>
  <si>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</si>
  <si>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</si>
  <si>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</si>
  <si>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</si>
  <si>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</si>
  <si>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</si>
  <si>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</si>
  <si>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</si>
  <si>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</si>
  <si>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</si>
  <si>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</si>
  <si>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</si>
  <si>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</si>
  <si>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</si>
  <si>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</si>
  <si>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</si>
  <si>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</si>
  <si>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</si>
  <si>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</si>
  <si>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</si>
  <si>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</si>
  <si>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</si>
  <si>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</si>
  <si>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</si>
  <si>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</si>
  <si>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</si>
  <si>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</si>
  <si>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</si>
  <si>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</si>
  <si>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</si>
  <si>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</si>
  <si>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</si>
  <si>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</si>
  <si>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</si>
  <si>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</si>
  <si>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</si>
  <si>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</si>
  <si>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</si>
  <si>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</si>
  <si>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</si>
  <si>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</si>
  <si>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</si>
  <si>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</si>
  <si>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</si>
  <si>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</si>
  <si>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</si>
  <si>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</si>
  <si>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</si>
  <si>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</si>
  <si>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</si>
  <si>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</si>
  <si>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</si>
  <si>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</si>
  <si>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</si>
  <si>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</si>
  <si>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</si>
  <si>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</si>
  <si>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</si>
  <si>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</si>
  <si>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</si>
  <si>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</si>
  <si>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</si>
  <si>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</si>
  <si>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</si>
  <si>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</si>
  <si>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</si>
  <si>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</si>
  <si>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</si>
  <si>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</si>
  <si>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</si>
  <si>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</si>
  <si>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</si>
  <si>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</si>
  <si>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</si>
  <si>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</si>
  <si>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</si>
  <si>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</si>
  <si>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</si>
  <si>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</si>
  <si>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</si>
  <si>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</si>
  <si>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</si>
  <si>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</si>
  <si>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</si>
  <si>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</si>
  <si>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</si>
  <si>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</si>
  <si>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</si>
  <si>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</si>
  <si>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</si>
  <si>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</si>
  <si>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</si>
  <si>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</si>
  <si>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</si>
  <si>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</si>
  <si>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</si>
  <si>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</si>
  <si>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</si>
  <si>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</si>
  <si>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</si>
  <si>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</si>
  <si>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</si>
  <si>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</si>
  <si>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</si>
  <si>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</si>
  <si>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</si>
  <si>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</si>
  <si>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</si>
  <si>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</si>
  <si>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</si>
  <si>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</si>
  <si>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</si>
  <si>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</si>
  <si>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</si>
  <si>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</si>
  <si>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</si>
  <si>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</si>
  <si>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</si>
  <si>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</si>
  <si>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</si>
  <si>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</si>
  <si>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</si>
  <si>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</si>
  <si>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</si>
  <si>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</si>
  <si>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</si>
  <si>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</si>
  <si>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</si>
  <si>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</si>
  <si>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</si>
  <si>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</si>
  <si>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</si>
  <si>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</si>
  <si>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</si>
  <si>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</si>
  <si>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</si>
  <si>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</si>
  <si>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</si>
  <si>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</si>
  <si>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</si>
  <si>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</si>
  <si>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</si>
  <si>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</si>
  <si>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</si>
  <si>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</si>
  <si>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</si>
  <si>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</si>
  <si>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</si>
  <si>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</si>
  <si>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</si>
  <si>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</si>
  <si>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</si>
  <si>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</si>
  <si>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</si>
  <si>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</si>
  <si>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</si>
  <si>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</si>
  <si>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</si>
  <si>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</si>
  <si>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</si>
  <si>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</si>
  <si>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</si>
  <si>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</si>
  <si>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</si>
  <si>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</si>
  <si>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</si>
  <si>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</si>
  <si>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</si>
  <si>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</si>
  <si>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</si>
  <si>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</si>
  <si>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</si>
  <si>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</si>
  <si>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</si>
  <si>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</si>
  <si>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</si>
  <si>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</si>
  <si>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</si>
  <si>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</si>
  <si>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</si>
  <si>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</si>
  <si>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</si>
  <si>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</si>
  <si>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</si>
  <si>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</si>
  <si>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</si>
  <si>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</si>
  <si>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</si>
  <si>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</si>
  <si>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</si>
  <si>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</si>
  <si>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</si>
  <si>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</si>
  <si>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</si>
  <si>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</si>
  <si>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</si>
  <si>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</si>
  <si>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</si>
  <si>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</si>
  <si>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</si>
  <si>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</si>
  <si>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</si>
  <si>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</si>
  <si>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</si>
  <si>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</si>
  <si>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</si>
  <si>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</si>
  <si>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</si>
  <si>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</si>
  <si>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</si>
  <si>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</si>
  <si>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</si>
  <si>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</si>
  <si>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</si>
  <si>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</si>
  <si>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</si>
  <si>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</si>
  <si>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</si>
  <si>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</si>
  <si>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</si>
  <si>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</si>
  <si>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</si>
  <si>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</si>
  <si>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</si>
  <si>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</si>
  <si>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</si>
  <si>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</si>
  <si>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</si>
  <si>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</si>
  <si>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</si>
  <si>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</si>
  <si>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</si>
  <si>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</si>
  <si>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</si>
  <si>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</si>
  <si>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</si>
  <si>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</si>
  <si>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</si>
  <si>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</si>
  <si>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</si>
  <si>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</si>
  <si>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</si>
  <si>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</si>
  <si>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</si>
  <si>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</si>
  <si>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</si>
  <si>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</si>
  <si>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</si>
  <si>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</si>
  <si>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</si>
  <si>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</si>
  <si>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</si>
  <si>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</si>
  <si>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</si>
  <si>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</si>
  <si>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</si>
  <si>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</si>
  <si>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</si>
  <si>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</si>
  <si>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</si>
  <si>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</si>
  <si>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</si>
  <si>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</si>
  <si>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</si>
  <si>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</si>
  <si>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</si>
  <si>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</si>
  <si>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</si>
  <si>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</si>
  <si>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</si>
  <si>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</si>
  <si>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</si>
  <si>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</si>
  <si>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</si>
  <si>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</si>
  <si>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</si>
  <si>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</si>
  <si>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</si>
  <si>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</si>
  <si>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</si>
  <si>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</si>
  <si>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</si>
  <si>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</si>
  <si>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</si>
  <si>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</si>
  <si>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</si>
  <si>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</si>
  <si>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</si>
  <si>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</si>
  <si>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</si>
  <si>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</si>
  <si>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</si>
  <si>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</si>
  <si>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</si>
  <si>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</si>
  <si>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</si>
  <si>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</si>
  <si>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</si>
  <si>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</si>
  <si>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</si>
  <si>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</si>
  <si>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</si>
  <si>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</si>
  <si>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</si>
  <si>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</si>
  <si>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</si>
  <si>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</si>
  <si>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</si>
  <si>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</si>
  <si>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</si>
  <si>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</si>
  <si>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</si>
  <si>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</si>
  <si>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</si>
  <si>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</si>
  <si>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</si>
  <si>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</si>
  <si>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</si>
  <si>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</si>
  <si>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</si>
  <si>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</si>
  <si>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</si>
  <si>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</si>
  <si>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</si>
  <si>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</si>
  <si>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</si>
  <si>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</si>
  <si>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</si>
  <si>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</si>
  <si>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</si>
  <si>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</si>
  <si>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</si>
  <si>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</si>
  <si>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</si>
  <si>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</si>
  <si>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</si>
  <si>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</si>
  <si>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</si>
  <si>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</si>
  <si>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</si>
  <si>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</si>
  <si>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</si>
  <si>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</si>
  <si>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</si>
  <si>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</si>
  <si>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</si>
  <si>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</si>
  <si>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</si>
  <si>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</si>
  <si>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</si>
  <si>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</si>
  <si>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</si>
  <si>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</si>
  <si>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</si>
  <si>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</si>
  <si>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</si>
  <si>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</si>
  <si>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</si>
  <si>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</si>
  <si>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</si>
  <si>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</si>
  <si>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</si>
  <si>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</si>
  <si>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</si>
  <si>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</si>
  <si>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</si>
  <si>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</si>
  <si>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</si>
  <si>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</si>
  <si>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</si>
  <si>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</si>
  <si>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</si>
  <si>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</si>
  <si>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</si>
  <si>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</si>
  <si>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</si>
  <si>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</si>
  <si>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</si>
  <si>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</si>
  <si>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</si>
  <si>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</si>
  <si>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</si>
  <si>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</si>
  <si>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</si>
  <si>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</si>
  <si>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</si>
  <si>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</si>
  <si>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</si>
  <si>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</si>
  <si>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</si>
  <si>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</si>
  <si>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</si>
  <si>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</si>
  <si>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</si>
  <si>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</si>
  <si>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</si>
  <si>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</si>
  <si>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</si>
  <si>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</si>
  <si>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</si>
  <si>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</si>
  <si>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</si>
  <si>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</si>
  <si>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</si>
  <si>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</si>
  <si>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</si>
  <si>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</si>
  <si>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</si>
  <si>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</si>
  <si>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</si>
  <si>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</si>
  <si>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</si>
  <si>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</si>
  <si>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</si>
  <si>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</si>
  <si>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</si>
  <si>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</si>
  <si>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</si>
  <si>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</si>
  <si>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</si>
  <si>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</si>
  <si>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</si>
  <si>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</si>
  <si>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</si>
  <si>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</si>
  <si>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</si>
  <si>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</si>
  <si>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</si>
  <si>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</si>
  <si>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</si>
  <si>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</si>
  <si>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</si>
  <si>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</si>
  <si>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</si>
  <si>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</si>
  <si>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</si>
  <si>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</si>
  <si>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</si>
  <si>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</si>
  <si>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</si>
  <si>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</si>
  <si>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</si>
  <si>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</si>
  <si>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</si>
  <si>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</si>
  <si>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</si>
  <si>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</si>
  <si>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</si>
  <si>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</si>
  <si>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</si>
  <si>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</si>
  <si>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</si>
  <si>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</si>
  <si>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</si>
  <si>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</si>
  <si>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</si>
  <si>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</si>
  <si>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</si>
  <si>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</si>
  <si>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</si>
  <si>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</si>
  <si>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</si>
  <si>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</si>
  <si>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</si>
  <si>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</si>
  <si>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</si>
  <si>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</si>
  <si>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</si>
  <si>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</si>
  <si>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</si>
  <si>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</si>
  <si>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</si>
  <si>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</si>
  <si>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</si>
  <si>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</si>
  <si>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</si>
  <si>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</si>
  <si>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</si>
  <si>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</si>
  <si>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</si>
  <si>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</si>
  <si>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</si>
  <si>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</si>
  <si>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</si>
  <si>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</si>
  <si>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</si>
  <si>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</si>
  <si>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</si>
  <si>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</si>
  <si>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</si>
  <si>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</si>
  <si>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</si>
  <si>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</si>
  <si>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</si>
  <si>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</si>
  <si>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</si>
  <si>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</si>
  <si>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</si>
  <si>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</si>
  <si>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</si>
  <si>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</si>
  <si>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</si>
  <si>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</si>
  <si>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</si>
  <si>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</si>
  <si>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</si>
  <si>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</si>
  <si>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</si>
  <si>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</si>
  <si>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</si>
  <si>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</si>
  <si>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</si>
  <si>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</si>
  <si>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</si>
  <si>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</si>
  <si>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</si>
  <si>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</si>
  <si>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</si>
  <si>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</si>
  <si>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</si>
  <si>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</si>
  <si>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</si>
  <si>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</si>
  <si>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</si>
  <si>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</si>
  <si>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</si>
  <si>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</si>
  <si>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</si>
  <si>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</si>
  <si>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</si>
  <si>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</si>
  <si>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</si>
  <si>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</si>
  <si>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</si>
  <si>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</si>
  <si>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</si>
  <si>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</si>
  <si>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</si>
  <si>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</si>
  <si>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</si>
  <si>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</si>
  <si>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</si>
  <si>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</si>
  <si>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</si>
  <si>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</si>
  <si>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</si>
  <si>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</si>
  <si>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</si>
  <si>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</si>
  <si>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</si>
  <si>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</si>
  <si>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</si>
  <si>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</si>
  <si>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</si>
  <si>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</si>
  <si>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</si>
  <si>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</si>
  <si>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</si>
  <si>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</si>
  <si>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</si>
  <si>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</si>
  <si>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</si>
  <si>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</si>
  <si>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</si>
  <si>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</si>
  <si>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</si>
  <si>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</si>
  <si>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</si>
  <si>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</si>
  <si>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</si>
  <si>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</si>
  <si>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</si>
  <si>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</si>
  <si>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</si>
  <si>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</si>
  <si>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</si>
  <si>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</si>
  <si>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</si>
  <si>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</si>
  <si>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</si>
  <si>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</si>
  <si>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</si>
  <si>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</si>
  <si>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</si>
  <si>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</si>
  <si>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</si>
  <si>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</si>
  <si>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</si>
  <si>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</si>
  <si>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</si>
  <si>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</si>
  <si>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</si>
  <si>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</si>
  <si>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</si>
  <si>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</si>
  <si>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</si>
  <si>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</si>
  <si>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</si>
  <si>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</si>
  <si>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</si>
  <si>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</si>
  <si>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</si>
  <si>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</si>
  <si>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</si>
  <si>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</si>
  <si>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</si>
  <si>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</si>
  <si>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</si>
  <si>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</si>
  <si>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</si>
  <si>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</si>
  <si>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</si>
  <si>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</si>
  <si>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</si>
  <si>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</si>
  <si>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</si>
  <si>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</si>
  <si>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</si>
  <si>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</si>
  <si>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</si>
  <si>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</si>
  <si>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</si>
  <si>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</si>
  <si>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</si>
  <si>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</si>
  <si>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</si>
  <si>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</si>
  <si>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</si>
  <si>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</si>
  <si>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</si>
  <si>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</si>
  <si>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</si>
  <si>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</si>
  <si>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</si>
  <si>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</si>
  <si>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</si>
  <si>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</si>
  <si>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</si>
  <si>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</si>
  <si>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</si>
  <si>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</si>
  <si>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</si>
  <si>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</si>
  <si>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</si>
  <si>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</si>
  <si>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</si>
  <si>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</si>
  <si>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</si>
  <si>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</si>
  <si>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</si>
  <si>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</si>
  <si>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</si>
  <si>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</si>
  <si>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</si>
  <si>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</si>
  <si>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</si>
  <si>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</si>
  <si>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</si>
  <si>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</si>
  <si>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</si>
  <si>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</si>
  <si>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</si>
  <si>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</si>
  <si>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</si>
  <si>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</si>
  <si>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</si>
  <si>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</si>
  <si>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</si>
  <si>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</si>
  <si>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</si>
  <si>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</si>
  <si>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</si>
  <si>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</si>
  <si>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</si>
  <si>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</si>
  <si>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</si>
  <si>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</si>
  <si>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</si>
  <si>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</si>
  <si>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</si>
  <si>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</si>
  <si>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</si>
  <si>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</si>
  <si>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</si>
  <si>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</si>
  <si>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</si>
  <si>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</si>
  <si>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</si>
  <si>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</si>
  <si>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</si>
  <si>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</si>
  <si>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</si>
  <si>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</si>
  <si>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</si>
  <si>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</si>
  <si>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</si>
  <si>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</si>
  <si>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</si>
  <si>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</si>
  <si>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</si>
  <si>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</si>
  <si>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</si>
  <si>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</si>
  <si>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</si>
  <si>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</si>
  <si>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</si>
  <si>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</si>
  <si>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</si>
  <si>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</si>
  <si>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</si>
  <si>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</si>
  <si>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</si>
  <si>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</si>
  <si>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</si>
  <si>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</si>
  <si>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</si>
  <si>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</si>
  <si>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</si>
  <si>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</si>
  <si>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</si>
  <si>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</si>
  <si>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</si>
  <si>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</si>
  <si>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</si>
  <si>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</si>
  <si>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</si>
  <si>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</si>
  <si>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</si>
  <si>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</si>
  <si>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</si>
  <si>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</si>
  <si>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</si>
  <si>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</si>
  <si>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</si>
  <si>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</si>
  <si>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</si>
  <si>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</si>
  <si>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</si>
  <si>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</si>
  <si>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</si>
  <si>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</si>
  <si>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</si>
  <si>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</si>
  <si>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</si>
  <si>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</si>
  <si>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</si>
  <si>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</si>
  <si>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</si>
  <si>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</si>
  <si>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</si>
  <si>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</si>
  <si>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</si>
  <si>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</si>
  <si>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</si>
  <si>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</si>
  <si>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</si>
  <si>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</si>
  <si>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</si>
  <si>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</si>
  <si>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</si>
  <si>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</si>
  <si>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</si>
  <si>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</si>
  <si>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</si>
  <si>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</si>
  <si>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</si>
  <si>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</si>
  <si>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</si>
  <si>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</si>
  <si>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</si>
  <si>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</si>
  <si>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</si>
  <si>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</si>
  <si>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</si>
  <si>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</si>
  <si>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</si>
  <si>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</si>
  <si>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</si>
  <si>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</si>
  <si>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</si>
  <si>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</si>
  <si>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</si>
  <si>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</si>
  <si>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</si>
  <si>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</si>
  <si>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</si>
  <si>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</si>
  <si>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</si>
  <si>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</si>
  <si>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</si>
  <si>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</si>
  <si>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</si>
  <si>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</si>
  <si>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</si>
  <si>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</si>
  <si>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</si>
  <si>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</si>
  <si>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</si>
  <si>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</si>
  <si>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</si>
  <si>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</si>
  <si>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</si>
  <si>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</si>
  <si>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</si>
  <si>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</si>
  <si>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</si>
  <si>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</si>
  <si>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</si>
  <si>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</si>
  <si>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</si>
  <si>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</si>
  <si>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</si>
  <si>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</si>
  <si>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</si>
  <si>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</si>
  <si>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</si>
  <si>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</si>
  <si>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</si>
  <si>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</si>
  <si>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</si>
  <si>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</si>
  <si>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</si>
  <si>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</si>
  <si>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</si>
  <si>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</si>
  <si>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</si>
  <si>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</si>
  <si>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</si>
  <si>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</si>
  <si>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</si>
  <si>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</si>
  <si>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</si>
  <si>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</si>
  <si>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</si>
  <si>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</si>
  <si>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</si>
  <si>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</si>
  <si>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</si>
  <si>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</si>
  <si>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</si>
  <si>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</si>
  <si>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</si>
  <si>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</si>
  <si>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</si>
  <si>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</si>
  <si>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</si>
  <si>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</si>
  <si>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</si>
  <si>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</si>
  <si>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</si>
  <si>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</si>
  <si>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</si>
  <si>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</si>
  <si>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</si>
  <si>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</si>
  <si>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</si>
  <si>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</si>
  <si>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</si>
  <si>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</si>
  <si>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</si>
  <si>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</si>
  <si>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</si>
  <si>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</si>
  <si>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</si>
  <si>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</si>
  <si>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</si>
  <si>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</si>
  <si>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</si>
  <si>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</si>
  <si>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</si>
  <si>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</si>
  <si>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</si>
  <si>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</si>
  <si>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</si>
  <si>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</si>
  <si>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</si>
  <si>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</si>
  <si>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</si>
  <si>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</si>
  <si>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</si>
  <si>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</si>
  <si>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</si>
  <si>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</si>
  <si>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</si>
  <si>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</si>
  <si>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</si>
  <si>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</si>
  <si>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</si>
  <si>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</si>
  <si>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</si>
  <si>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</si>
  <si>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</si>
  <si>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</si>
  <si>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</si>
  <si>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</si>
  <si>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</si>
  <si>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</si>
  <si>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</si>
  <si>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</si>
  <si>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</si>
  <si>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</si>
  <si>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</si>
  <si>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</si>
  <si>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</si>
  <si>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</si>
  <si>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</si>
  <si>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</si>
  <si>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</si>
  <si>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</si>
  <si>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</si>
  <si>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</si>
  <si>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</si>
  <si>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</si>
  <si>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</si>
  <si>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</si>
  <si>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</si>
  <si>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</si>
  <si>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</si>
  <si>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</si>
  <si>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</si>
  <si>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</si>
  <si>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</si>
  <si>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</si>
  <si>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</si>
  <si>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</si>
  <si>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</si>
  <si>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</si>
  <si>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</si>
  <si>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</si>
  <si>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</si>
  <si>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</si>
  <si>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</si>
  <si>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</si>
  <si>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</si>
  <si>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</si>
  <si>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</si>
  <si>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</si>
  <si>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</si>
  <si>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</si>
  <si>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</si>
  <si>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</si>
  <si>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</si>
  <si>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</si>
  <si>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</si>
  <si>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</si>
  <si>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</si>
  <si>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</si>
  <si>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</si>
  <si>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</si>
  <si>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</si>
  <si>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</si>
  <si>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</si>
  <si>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</si>
  <si>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</si>
  <si>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</si>
  <si>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</si>
  <si>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</si>
  <si>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</si>
  <si>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</si>
  <si>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</si>
  <si>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</si>
  <si>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</si>
  <si>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</si>
  <si>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</si>
  <si>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</si>
  <si>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</si>
  <si>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</si>
  <si>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</si>
  <si>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</si>
  <si>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</si>
  <si>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</si>
  <si>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</si>
  <si>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</si>
  <si>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</si>
  <si>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</si>
  <si>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</si>
  <si>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</si>
  <si>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</si>
  <si>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</si>
  <si>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</si>
  <si>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</si>
  <si>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</si>
  <si>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</si>
  <si>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</si>
  <si>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</si>
  <si>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</si>
  <si>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</si>
  <si>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</si>
  <si>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</si>
  <si>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</si>
  <si>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</si>
  <si>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</si>
  <si>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</si>
  <si>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</si>
  <si>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</si>
  <si>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</si>
  <si>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</si>
  <si>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</si>
  <si>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</si>
  <si>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</si>
  <si>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</si>
  <si>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</si>
  <si>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</si>
  <si>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</si>
  <si>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</si>
  <si>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</si>
  <si>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</si>
  <si>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</si>
  <si>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</si>
  <si>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</si>
  <si>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</si>
  <si>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</si>
  <si>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</si>
  <si>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</si>
  <si>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</si>
  <si>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</si>
  <si>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</si>
  <si>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</si>
  <si>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</si>
  <si>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</si>
  <si>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</si>
  <si>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</si>
  <si>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</si>
  <si>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</si>
  <si>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</si>
  <si>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</si>
  <si>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</si>
  <si>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</si>
  <si>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</si>
  <si>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</si>
  <si>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</si>
  <si>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</si>
  <si>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</si>
  <si>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</si>
  <si>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</si>
  <si>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</si>
  <si>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</si>
  <si>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</si>
  <si>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</si>
  <si>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</si>
  <si>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</si>
  <si>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</si>
  <si>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</si>
  <si>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</si>
  <si>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</si>
  <si>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</si>
  <si>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</si>
  <si>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</si>
  <si>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</si>
  <si>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</si>
  <si>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</si>
  <si>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</si>
  <si>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</si>
  <si>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</si>
  <si>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</si>
  <si>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</si>
  <si>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</si>
  <si>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</si>
  <si>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</si>
  <si>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</si>
  <si>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</si>
  <si>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</si>
  <si>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</si>
  <si>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</si>
  <si>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</si>
  <si>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</si>
  <si>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</si>
  <si>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</si>
  <si>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</si>
  <si>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</si>
  <si>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</si>
  <si>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</si>
  <si>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</si>
  <si>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</si>
  <si>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</si>
  <si>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</si>
  <si>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</si>
  <si>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</si>
  <si>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</si>
  <si>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</si>
  <si>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</si>
  <si>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</si>
  <si>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</si>
  <si>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</si>
  <si>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</si>
  <si>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</si>
  <si>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</si>
  <si>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</si>
  <si>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</si>
  <si>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</si>
  <si>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</si>
  <si>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</si>
  <si>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</si>
  <si>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</si>
  <si>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</si>
  <si>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</si>
  <si>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</si>
  <si>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</si>
  <si>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</si>
  <si>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</si>
  <si>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</si>
  <si>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</si>
  <si>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</si>
  <si>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</si>
  <si>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</si>
  <si>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</si>
  <si>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</si>
  <si>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</si>
  <si>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</si>
  <si>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</si>
  <si>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</si>
  <si>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</si>
  <si>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</si>
  <si>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</si>
  <si>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</si>
  <si>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</si>
  <si>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</si>
  <si>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</si>
  <si>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</si>
  <si>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</si>
  <si>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</si>
  <si>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</si>
  <si>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</si>
  <si>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</si>
  <si>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</si>
  <si>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</si>
  <si>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</si>
  <si>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</si>
  <si>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</si>
  <si>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</si>
  <si>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</si>
  <si>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</si>
  <si>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</si>
  <si>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</si>
  <si>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</si>
  <si>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</si>
  <si>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</si>
  <si>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</si>
  <si>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</si>
  <si>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</si>
  <si>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</si>
  <si>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</si>
  <si>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</si>
  <si>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</si>
  <si>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</si>
  <si>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</si>
  <si>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</si>
  <si>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</si>
  <si>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</si>
  <si>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</si>
  <si>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</si>
  <si>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</si>
  <si>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</si>
  <si>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</si>
  <si>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</si>
  <si>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</si>
  <si>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</si>
  <si>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</si>
  <si>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</si>
  <si>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</si>
  <si>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</si>
  <si>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</si>
  <si>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</si>
  <si>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</si>
  <si>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</si>
  <si>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</si>
  <si>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</si>
  <si>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</si>
  <si>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</si>
  <si>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</si>
  <si>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</si>
  <si>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</si>
  <si>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</si>
  <si>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</si>
  <si>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</si>
  <si>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</si>
  <si>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</si>
  <si>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</si>
  <si>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</si>
  <si>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</si>
  <si>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</si>
  <si>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</si>
  <si>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</si>
  <si>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</si>
  <si>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</si>
  <si>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</si>
  <si>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</si>
  <si>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</si>
  <si>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</si>
  <si>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</si>
  <si>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</si>
  <si>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</si>
  <si>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</si>
  <si>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</si>
  <si>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</si>
  <si>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</si>
  <si>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</si>
  <si>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</si>
  <si>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</si>
  <si>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</si>
  <si>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</si>
  <si>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</si>
  <si>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</si>
  <si>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</si>
  <si>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</si>
  <si>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</si>
  <si>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</si>
  <si>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</si>
  <si>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</si>
  <si>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</si>
  <si>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</si>
  <si>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</si>
  <si>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</si>
  <si>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</si>
  <si>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</si>
  <si>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</si>
  <si>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</si>
  <si>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</si>
  <si>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</si>
  <si>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</si>
  <si>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</si>
  <si>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</si>
  <si>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</si>
  <si>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</si>
  <si>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</si>
  <si>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</si>
  <si>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</si>
  <si>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</si>
  <si>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</si>
  <si>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</si>
  <si>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</si>
  <si>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</si>
  <si>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</si>
  <si>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</si>
  <si>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</si>
  <si>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</si>
  <si>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</si>
  <si>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</si>
  <si>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</si>
  <si>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</si>
  <si>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</si>
  <si>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</si>
  <si>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</si>
  <si>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</si>
  <si>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</si>
  <si>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</si>
  <si>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</si>
  <si>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</si>
  <si>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</si>
  <si>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</si>
  <si>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</si>
  <si>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</si>
  <si>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</si>
  <si>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</si>
  <si>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</si>
  <si>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</si>
  <si>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</si>
  <si>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</si>
  <si>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</si>
  <si>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</si>
  <si>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</si>
  <si>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</si>
  <si>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</si>
  <si>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</si>
  <si>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</si>
  <si>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</si>
  <si>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</si>
  <si>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</si>
  <si>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</si>
  <si>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</si>
  <si>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</si>
  <si>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</si>
  <si>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</si>
  <si>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</si>
  <si>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</si>
  <si>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</si>
  <si>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</si>
  <si>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</si>
  <si>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</si>
  <si>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</si>
  <si>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</si>
  <si>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</si>
  <si>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</si>
  <si>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</si>
  <si>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</si>
  <si>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</si>
  <si>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</si>
  <si>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</si>
  <si>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</si>
  <si>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</si>
  <si>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</si>
  <si>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</si>
  <si>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</si>
  <si>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</si>
  <si>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</si>
  <si>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</si>
  <si>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</si>
  <si>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</si>
  <si>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</si>
  <si>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</si>
  <si>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</si>
  <si>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</si>
  <si>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</si>
  <si>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</si>
  <si>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</si>
  <si>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</si>
  <si>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</si>
  <si>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</si>
  <si>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</si>
  <si>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</si>
  <si>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</si>
  <si>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</si>
  <si>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</si>
  <si>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</si>
  <si>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</si>
  <si>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</si>
  <si>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</si>
  <si>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</si>
  <si>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</si>
  <si>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</si>
  <si>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</si>
  <si>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</si>
  <si>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</si>
  <si>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</si>
  <si>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</si>
  <si>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</si>
  <si>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</si>
  <si>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</si>
  <si>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</si>
  <si>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</si>
  <si>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</si>
  <si>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</si>
  <si>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</si>
  <si>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</si>
  <si>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</si>
  <si>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</si>
  <si>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</si>
  <si>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</si>
  <si>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</si>
  <si>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</si>
  <si>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</si>
  <si>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</si>
  <si>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</si>
  <si>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</si>
  <si>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</si>
  <si>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</si>
  <si>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</si>
  <si>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</si>
  <si>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</si>
  <si>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</si>
  <si>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</si>
  <si>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</si>
  <si>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</si>
  <si>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</si>
  <si>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</si>
  <si>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</si>
  <si>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</si>
  <si>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</si>
  <si>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</si>
  <si>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</si>
  <si>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</si>
  <si>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</si>
  <si>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</si>
  <si>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</si>
  <si>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</si>
  <si>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</si>
  <si>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</si>
  <si>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</si>
  <si>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</si>
  <si>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</si>
  <si>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</si>
  <si>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</si>
  <si>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</si>
  <si>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</si>
  <si>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</si>
  <si>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</si>
  <si>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</si>
  <si>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</si>
  <si>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</si>
  <si>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</si>
  <si>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</si>
  <si>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</si>
  <si>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</si>
  <si>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</si>
  <si>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</si>
  <si>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</si>
  <si>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</si>
  <si>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</si>
  <si>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</si>
  <si>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</si>
  <si>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</si>
  <si>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</si>
  <si>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</si>
  <si>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</si>
  <si>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</si>
  <si>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</si>
  <si>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</si>
  <si>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</si>
  <si>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</si>
  <si>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</si>
  <si>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</si>
  <si>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</si>
  <si>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</si>
  <si>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</si>
  <si>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</si>
  <si>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</si>
  <si>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</si>
  <si>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</si>
  <si>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</si>
  <si>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</si>
  <si>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</si>
  <si>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</si>
  <si>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</si>
  <si>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</si>
  <si>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</si>
  <si>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</si>
  <si>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</si>
  <si>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</si>
  <si>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</si>
  <si>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</si>
  <si>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</si>
  <si>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</si>
  <si>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</si>
  <si>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</si>
  <si>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</si>
  <si>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</si>
  <si>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</si>
  <si>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</si>
  <si>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</si>
  <si>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</si>
  <si>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</si>
  <si>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</si>
  <si>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</si>
  <si>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</si>
  <si>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</si>
  <si>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</si>
  <si>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</si>
  <si>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</si>
  <si>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</si>
  <si>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</si>
  <si>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</si>
  <si>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</si>
  <si>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</si>
  <si>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</si>
  <si>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</si>
  <si>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</si>
  <si>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</si>
  <si>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</si>
  <si>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</si>
  <si>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</si>
  <si>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</si>
  <si>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</si>
  <si>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</si>
  <si>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</si>
  <si>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</si>
  <si>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</si>
  <si>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</si>
  <si>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</si>
  <si>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</si>
  <si>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</si>
  <si>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</si>
  <si>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</si>
  <si>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</si>
  <si>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</si>
  <si>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</si>
  <si>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</si>
  <si>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</si>
  <si>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</si>
  <si>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</si>
  <si>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</si>
  <si>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</si>
  <si>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</si>
  <si>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</si>
  <si>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</si>
  <si>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</si>
  <si>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</si>
  <si>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</si>
  <si>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</si>
  <si>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</si>
  <si>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</si>
  <si>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</si>
  <si>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</si>
  <si>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</si>
  <si>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</si>
  <si>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</si>
  <si>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</si>
  <si>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</si>
  <si>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</si>
  <si>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</si>
  <si>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</si>
  <si>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</si>
  <si>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</si>
  <si>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</si>
  <si>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</si>
  <si>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</si>
  <si>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</si>
  <si>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</si>
  <si>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</si>
  <si>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</si>
  <si>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</si>
  <si>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</si>
  <si>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</si>
  <si>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</si>
  <si>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</si>
  <si>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</si>
  <si>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</si>
  <si>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</si>
  <si>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</si>
  <si>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</si>
  <si>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</si>
  <si>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</si>
  <si>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</si>
  <si>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</si>
  <si>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</si>
  <si>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</si>
  <si>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</si>
  <si>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</si>
  <si>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</si>
  <si>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</si>
  <si>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</si>
  <si>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</si>
  <si>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</si>
  <si>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</si>
  <si>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</si>
  <si>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</si>
  <si>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</si>
  <si>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</si>
  <si>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</si>
  <si>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</si>
  <si>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</si>
  <si>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</si>
  <si>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</si>
  <si>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</si>
  <si>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</si>
  <si>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</si>
  <si>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</si>
  <si>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</si>
  <si>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</si>
  <si>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</si>
  <si>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</si>
  <si>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</si>
  <si>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</si>
  <si>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</si>
  <si>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</si>
  <si>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</si>
  <si>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</si>
  <si>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</si>
  <si>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</si>
  <si>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</si>
  <si>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</si>
  <si>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</si>
  <si>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</si>
  <si>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</si>
  <si>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</si>
  <si>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</si>
  <si>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</si>
  <si>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</si>
  <si>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</si>
  <si>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</si>
  <si>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</si>
  <si>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</si>
  <si>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</si>
  <si>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</si>
  <si>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</si>
  <si>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</si>
  <si>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</si>
  <si>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</si>
  <si>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</si>
  <si>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</si>
  <si>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</si>
  <si>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</si>
  <si>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</si>
  <si>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</si>
  <si>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</si>
  <si>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</si>
  <si>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</si>
  <si>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</si>
  <si>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</si>
  <si>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</si>
  <si>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</si>
  <si>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</si>
  <si>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</si>
  <si>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</si>
  <si>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</si>
  <si>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</si>
  <si>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</si>
  <si>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</si>
  <si>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</si>
  <si>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</si>
  <si>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</si>
  <si>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</si>
  <si>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</si>
  <si>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</si>
  <si>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</si>
  <si>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</si>
  <si>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</si>
  <si>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</si>
  <si>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</si>
  <si>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</si>
  <si>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</si>
  <si>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</si>
  <si>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</si>
  <si>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</si>
  <si>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</si>
  <si>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</si>
  <si>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</si>
  <si>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</si>
  <si>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</si>
  <si>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</si>
  <si>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</si>
  <si>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</si>
  <si>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</si>
  <si>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</si>
  <si>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</si>
  <si>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</si>
  <si>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</si>
  <si>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</si>
  <si>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</si>
  <si>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</si>
  <si>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</si>
  <si>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</si>
  <si>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</si>
  <si>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</si>
  <si>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</si>
  <si>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</si>
  <si>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</si>
  <si>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</si>
  <si>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</si>
  <si>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</si>
  <si>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</si>
  <si>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</si>
  <si>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</si>
  <si>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</si>
  <si>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</si>
  <si>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</si>
  <si>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</si>
  <si>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</si>
  <si>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</si>
  <si>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</si>
  <si>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</si>
  <si>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</si>
  <si>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</si>
  <si>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</si>
  <si>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</si>
  <si>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</si>
  <si>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</si>
  <si>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</si>
  <si>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</si>
  <si>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</si>
  <si>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</si>
  <si>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</si>
  <si>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</si>
  <si>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</si>
  <si>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</si>
  <si>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</si>
  <si>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</si>
  <si>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</si>
  <si>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</si>
  <si>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</si>
  <si>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</si>
  <si>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</si>
  <si>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</si>
  <si>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</si>
  <si>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</si>
  <si>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</si>
  <si>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</si>
  <si>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</si>
  <si>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</si>
  <si>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</si>
  <si>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</si>
  <si>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</si>
  <si>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</si>
  <si>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</si>
  <si>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</si>
  <si>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</si>
  <si>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</si>
  <si>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</si>
  <si>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</si>
  <si>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</si>
  <si>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</si>
  <si>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</si>
  <si>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</si>
  <si>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</si>
  <si>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</si>
  <si>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</si>
  <si>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</si>
  <si>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</si>
  <si>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</si>
  <si>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</si>
  <si>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</si>
  <si>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</si>
  <si>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</si>
  <si>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</si>
  <si>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</si>
  <si>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</si>
  <si>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</si>
  <si>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</si>
  <si>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</si>
  <si>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</si>
  <si>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</si>
  <si>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</si>
  <si>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</si>
  <si>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</si>
  <si>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</si>
  <si>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</si>
  <si>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</si>
  <si>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</si>
  <si>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</si>
  <si>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</si>
  <si>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</si>
  <si>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</si>
  <si>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</si>
  <si>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</si>
  <si>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</si>
  <si>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</si>
  <si>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</si>
  <si>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</si>
  <si>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</si>
  <si>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</si>
  <si>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</si>
  <si>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</si>
  <si>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</si>
  <si>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</si>
  <si>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</si>
  <si>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</si>
  <si>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</si>
  <si>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</si>
  <si>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</si>
  <si>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</si>
  <si>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</si>
  <si>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</si>
  <si>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</si>
  <si>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</si>
  <si>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</si>
  <si>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</si>
  <si>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</si>
  <si>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</si>
  <si>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</si>
  <si>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</si>
  <si>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</si>
  <si>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</si>
  <si>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</si>
  <si>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</si>
  <si>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</si>
  <si>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</si>
  <si>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</si>
  <si>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</si>
  <si>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</si>
  <si>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</si>
  <si>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</si>
  <si>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</si>
  <si>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</si>
  <si>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</si>
  <si>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</si>
  <si>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</si>
  <si>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</si>
  <si>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</si>
  <si>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</si>
  <si>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</si>
  <si>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</si>
  <si>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</si>
  <si>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</si>
  <si>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</si>
  <si>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</si>
  <si>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</si>
  <si>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</si>
  <si>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</si>
  <si>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</si>
  <si>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</si>
  <si>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</si>
  <si>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</si>
  <si>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</si>
  <si>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</si>
  <si>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</si>
  <si>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</si>
  <si>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</si>
  <si>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</si>
  <si>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</si>
  <si>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</si>
  <si>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</si>
  <si>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</si>
  <si>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</si>
  <si>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</si>
  <si>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</si>
  <si>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</si>
  <si>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</si>
  <si>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</si>
  <si>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</si>
  <si>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</si>
  <si>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</si>
  <si>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</si>
  <si>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</si>
  <si>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</si>
  <si>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</si>
  <si>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</si>
  <si>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</si>
  <si>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</si>
  <si>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</si>
  <si>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</si>
  <si>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</si>
  <si>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</si>
  <si>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</si>
  <si>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</si>
  <si>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</si>
  <si>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</si>
  <si>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</si>
  <si>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</si>
  <si>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</si>
  <si>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</si>
  <si>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</si>
  <si>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</si>
  <si>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</si>
  <si>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</si>
  <si>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</si>
  <si>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</si>
  <si>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</si>
  <si>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</si>
  <si>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</si>
  <si>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</si>
  <si>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</si>
  <si>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</si>
  <si>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</si>
  <si>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</si>
  <si>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</si>
  <si>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</si>
  <si>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</si>
  <si>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</si>
  <si>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</si>
  <si>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</si>
  <si>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</si>
  <si>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</si>
  <si>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</si>
  <si>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</si>
  <si>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</si>
  <si>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</si>
  <si>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</si>
  <si>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</si>
  <si>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</si>
  <si>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</si>
  <si>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</si>
  <si>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</si>
  <si>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</si>
  <si>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</si>
  <si>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</si>
  <si>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</si>
  <si>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</si>
  <si>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</si>
  <si>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</si>
  <si>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</si>
  <si>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</si>
  <si>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</si>
  <si>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</si>
  <si>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</si>
  <si>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</si>
  <si>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</si>
  <si>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</si>
  <si>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</si>
  <si>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</si>
  <si>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</si>
  <si>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</si>
  <si>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</si>
  <si>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</si>
  <si>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</si>
  <si>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</si>
  <si>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</si>
  <si>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</si>
  <si>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</si>
  <si>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</si>
  <si>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</si>
  <si>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</si>
  <si>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</si>
  <si>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</si>
  <si>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</si>
  <si>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</si>
  <si>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</si>
  <si>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</si>
  <si>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</si>
  <si>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</si>
  <si>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</si>
  <si>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</si>
  <si>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</si>
  <si>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</si>
  <si>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</si>
  <si>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</si>
  <si>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</si>
  <si>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</si>
  <si>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</si>
  <si>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</si>
  <si>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</si>
  <si>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</si>
  <si>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</si>
  <si>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</si>
  <si>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</si>
  <si>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</si>
  <si>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</si>
  <si>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</si>
  <si>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</si>
  <si>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</si>
  <si>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</si>
  <si>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</si>
  <si>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</si>
  <si>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</si>
  <si>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</si>
  <si>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</si>
  <si>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</si>
  <si>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</si>
  <si>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</si>
  <si>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</si>
  <si>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</si>
  <si>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</si>
  <si>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</si>
  <si>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</si>
  <si>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</si>
  <si>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</si>
  <si>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</si>
  <si>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</si>
  <si>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</si>
  <si>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</si>
  <si>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</si>
  <si>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</si>
  <si>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</si>
  <si>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</si>
  <si>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</si>
  <si>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</si>
  <si>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</si>
  <si>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</si>
  <si>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</si>
  <si>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</si>
  <si>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</si>
  <si>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</si>
  <si>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</si>
  <si>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</si>
  <si>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</si>
  <si>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</si>
  <si>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</si>
  <si>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</si>
  <si>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</si>
  <si>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</si>
  <si>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</si>
  <si>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</si>
  <si>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</si>
  <si>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</si>
  <si>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</si>
  <si>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</si>
  <si>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</si>
  <si>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</si>
  <si>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</si>
  <si>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</si>
  <si>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</si>
  <si>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</si>
  <si>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</si>
  <si>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</si>
  <si>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</si>
  <si>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</si>
  <si>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</si>
  <si>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</si>
  <si>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</si>
  <si>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</si>
  <si>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</si>
  <si>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</si>
  <si>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</si>
  <si>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</si>
  <si>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</si>
  <si>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</si>
  <si>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</si>
  <si>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</si>
  <si>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</si>
  <si>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</si>
  <si>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</si>
  <si>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</si>
  <si>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</si>
  <si>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</si>
  <si>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</si>
  <si>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</si>
  <si>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</si>
  <si>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</si>
  <si>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</si>
  <si>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</si>
  <si>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</si>
  <si>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</si>
  <si>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</si>
  <si>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</si>
  <si>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</si>
  <si>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</si>
  <si>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</si>
  <si>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</si>
  <si>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</si>
  <si>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</si>
  <si>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</si>
  <si>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</si>
  <si>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</si>
  <si>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</si>
  <si>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</si>
  <si>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</si>
  <si>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</si>
  <si>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</si>
  <si>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</si>
  <si>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</si>
  <si>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</si>
  <si>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</si>
  <si>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</si>
  <si>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</si>
  <si>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</si>
  <si>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</si>
  <si>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</si>
  <si>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</si>
  <si>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</si>
  <si>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</si>
  <si>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</si>
  <si>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</si>
  <si>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</si>
  <si>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</si>
  <si>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</si>
  <si>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</si>
  <si>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</si>
  <si>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</si>
  <si>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</si>
  <si>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</si>
  <si>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</si>
  <si>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</si>
  <si>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</si>
  <si>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</si>
  <si>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</si>
  <si>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</si>
  <si>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</si>
  <si>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</si>
  <si>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</si>
  <si>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</si>
  <si>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</si>
  <si>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</si>
  <si>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</si>
  <si>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</si>
  <si>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</si>
  <si>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</si>
  <si>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</si>
  <si>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</si>
  <si>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</si>
  <si>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</si>
  <si>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</si>
  <si>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</si>
  <si>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</si>
  <si>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</si>
  <si>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</si>
  <si>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</si>
  <si>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</si>
  <si>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</si>
  <si>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</si>
  <si>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</si>
  <si>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</si>
  <si>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</si>
  <si>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</si>
  <si>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</si>
  <si>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</si>
  <si>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</si>
  <si>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</si>
  <si>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</si>
  <si>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</si>
  <si>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</si>
  <si>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</si>
  <si>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</si>
  <si>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</si>
  <si>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</si>
  <si>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</si>
  <si>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</si>
  <si>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</si>
  <si>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</si>
  <si>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</si>
  <si>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</si>
  <si>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</si>
  <si>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</si>
  <si>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</si>
  <si>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</si>
  <si>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</si>
  <si>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</si>
  <si>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</si>
  <si>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</si>
  <si>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</si>
  <si>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</si>
  <si>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</si>
  <si>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</si>
  <si>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</si>
  <si>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</si>
  <si>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</si>
  <si>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</si>
  <si>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</si>
  <si>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</si>
  <si>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</si>
  <si>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</si>
  <si>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</si>
  <si>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</si>
  <si>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</si>
  <si>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</si>
  <si>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</si>
  <si>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</si>
  <si>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</si>
  <si>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</si>
  <si>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</si>
  <si>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</si>
  <si>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</si>
  <si>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</si>
  <si>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</si>
  <si>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</si>
  <si>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</si>
  <si>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</si>
  <si>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</si>
  <si>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</si>
  <si>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</si>
  <si>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</si>
  <si>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</si>
  <si>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</si>
  <si>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</si>
  <si>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</si>
  <si>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</si>
  <si>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</si>
  <si>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</si>
  <si>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</si>
  <si>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</si>
  <si>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</si>
  <si>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</si>
  <si>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</si>
  <si>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</si>
  <si>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</si>
  <si>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</si>
  <si>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</si>
  <si>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</si>
  <si>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</si>
  <si>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</si>
  <si>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</si>
  <si>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</si>
  <si>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</si>
  <si>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</si>
  <si>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</si>
  <si>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</si>
  <si>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</si>
  <si>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</si>
  <si>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</si>
  <si>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</si>
  <si>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</si>
  <si>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</si>
  <si>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</si>
  <si>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</si>
  <si>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</si>
  <si>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</si>
  <si>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</si>
  <si>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</si>
  <si>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</si>
  <si>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</si>
  <si>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</si>
  <si>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</si>
  <si>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</si>
  <si>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</si>
  <si>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</si>
  <si>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</si>
  <si>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</si>
  <si>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</si>
  <si>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</si>
  <si>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</si>
  <si>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</si>
  <si>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</si>
  <si>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</si>
  <si>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</si>
  <si>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</si>
  <si>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</si>
  <si>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</si>
  <si>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</si>
  <si>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</si>
  <si>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</si>
  <si>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</si>
  <si>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</si>
  <si>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</si>
  <si>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</si>
  <si>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</si>
  <si>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</si>
  <si>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</si>
  <si>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</si>
  <si>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</si>
  <si>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</si>
  <si>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</si>
  <si>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</si>
  <si>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</si>
  <si>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</si>
  <si>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</si>
  <si>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</si>
  <si>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</si>
  <si>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</si>
  <si>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</si>
  <si>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</si>
  <si>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</si>
  <si>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</si>
  <si>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</si>
  <si>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</si>
  <si>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</si>
  <si>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</si>
  <si>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</si>
  <si>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</si>
  <si>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</si>
  <si>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</si>
  <si>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</si>
  <si>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</si>
  <si>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</si>
  <si>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</si>
  <si>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</si>
  <si>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</si>
  <si>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</si>
  <si>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</si>
  <si>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</si>
  <si>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</si>
  <si>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</si>
  <si>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</si>
  <si>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</si>
  <si>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</si>
  <si>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</si>
  <si>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</si>
  <si>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</si>
  <si>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</si>
  <si>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</si>
  <si>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</si>
  <si>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</si>
  <si>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</si>
  <si>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</si>
  <si>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</si>
  <si>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</si>
  <si>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</si>
  <si>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</si>
  <si>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</si>
  <si>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</si>
  <si>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</si>
  <si>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</si>
  <si>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</si>
  <si>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</si>
  <si>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</si>
  <si>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</si>
  <si>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</si>
  <si>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</si>
  <si>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</si>
  <si>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</si>
  <si>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</si>
  <si>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</si>
  <si>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</si>
  <si>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</si>
  <si>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</si>
  <si>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</si>
  <si>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</si>
  <si>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</si>
  <si>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</si>
  <si>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</si>
  <si>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</si>
  <si>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</si>
  <si>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</si>
  <si>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</si>
  <si>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</si>
  <si>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</si>
  <si>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</si>
  <si>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</si>
  <si>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</si>
  <si>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</si>
  <si>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</si>
  <si>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</si>
  <si>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</si>
  <si>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</si>
  <si>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</si>
  <si>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</si>
  <si>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</si>
  <si>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</si>
  <si>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</si>
  <si>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</si>
  <si>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</si>
  <si>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</si>
  <si>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</si>
  <si>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</si>
  <si>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</si>
  <si>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</si>
  <si>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</si>
  <si>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</si>
  <si>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</si>
  <si>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</si>
  <si>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</si>
  <si>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</si>
  <si>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</si>
  <si>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</si>
  <si>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</si>
  <si>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</si>
  <si>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</si>
  <si>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</si>
  <si>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</si>
  <si>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</si>
  <si>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</si>
  <si>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</si>
  <si>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</si>
  <si>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</si>
  <si>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</si>
  <si>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</si>
  <si>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</si>
  <si>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</si>
  <si>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</si>
  <si>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</si>
  <si>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</si>
  <si>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</si>
  <si>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</si>
  <si>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</si>
  <si>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</si>
  <si>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</si>
  <si>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</si>
  <si>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</si>
  <si>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</si>
  <si>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</si>
  <si>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</si>
  <si>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</si>
  <si>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</si>
  <si>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</si>
  <si>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</si>
  <si>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</si>
  <si>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</si>
  <si>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</si>
  <si>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</si>
  <si>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</si>
  <si>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</si>
  <si>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</si>
  <si>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</si>
  <si>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</si>
  <si>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</si>
  <si>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</si>
  <si>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</si>
  <si>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</si>
  <si>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</si>
  <si>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</si>
  <si>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</si>
  <si>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</si>
  <si>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</si>
  <si>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</si>
  <si>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</si>
  <si>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</si>
  <si>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</si>
  <si>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</si>
  <si>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</si>
  <si>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</si>
  <si>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</si>
  <si>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</si>
  <si>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</si>
  <si>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</si>
  <si>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</si>
  <si>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</si>
  <si>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</si>
  <si>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</si>
  <si>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</si>
  <si>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</si>
  <si>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</si>
  <si>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</si>
  <si>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</si>
  <si>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</si>
  <si>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</si>
  <si>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</si>
  <si>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</si>
  <si>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</si>
  <si>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</si>
  <si>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</si>
  <si>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</si>
  <si>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</si>
  <si>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</si>
  <si>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</si>
  <si>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</si>
  <si>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</si>
  <si>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</si>
  <si>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</si>
  <si>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</si>
  <si>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</si>
  <si>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</si>
  <si>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</si>
  <si>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</si>
  <si>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</si>
  <si>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</si>
  <si>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</si>
  <si>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</si>
  <si>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</si>
  <si>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</si>
  <si>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</si>
  <si>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</si>
  <si>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</si>
  <si>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</si>
  <si>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</si>
  <si>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</si>
  <si>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</si>
  <si>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</si>
  <si>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</si>
  <si>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</si>
  <si>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</si>
  <si>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</si>
  <si>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</si>
  <si>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</si>
  <si>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</si>
  <si>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</si>
  <si>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</si>
  <si>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</si>
  <si>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</si>
  <si>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</si>
  <si>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</si>
  <si>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</si>
  <si>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</si>
  <si>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</si>
  <si>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</si>
  <si>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</si>
  <si>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</si>
  <si>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</si>
  <si>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</si>
  <si>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</si>
  <si>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</si>
  <si>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</si>
  <si>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</si>
  <si>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</si>
  <si>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</si>
  <si>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</si>
  <si>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</si>
  <si>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</si>
  <si>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</si>
  <si>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</si>
  <si>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</si>
  <si>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</si>
  <si>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</si>
  <si>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</si>
  <si>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</si>
  <si>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</si>
  <si>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</si>
  <si>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</si>
  <si>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</si>
  <si>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</si>
  <si>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</si>
  <si>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</si>
  <si>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</si>
  <si>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</si>
  <si>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</si>
  <si>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</si>
  <si>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</si>
  <si>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</si>
  <si>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</si>
  <si>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</si>
  <si>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</si>
  <si>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</si>
  <si>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</si>
  <si>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</si>
  <si>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</si>
  <si>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</si>
  <si>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</si>
  <si>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</si>
  <si>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</si>
  <si>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</si>
  <si>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</si>
  <si>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</si>
  <si>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</si>
  <si>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</si>
  <si>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</si>
  <si>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</si>
  <si>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</si>
  <si>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</si>
  <si>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</si>
  <si>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</si>
  <si>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</si>
  <si>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</si>
  <si>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</si>
  <si>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</si>
  <si>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</si>
  <si>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</si>
  <si>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</si>
  <si>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</si>
  <si>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</si>
  <si>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</si>
  <si>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</si>
  <si>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</si>
  <si>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</si>
  <si>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</si>
  <si>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</si>
  <si>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</si>
  <si>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</si>
  <si>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</si>
  <si>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</si>
  <si>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</si>
  <si>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</si>
  <si>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</si>
  <si>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</si>
  <si>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</si>
  <si>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</si>
  <si>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</si>
  <si>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</si>
  <si>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</si>
  <si>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</si>
  <si>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</si>
  <si>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</si>
  <si>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</si>
  <si>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</si>
  <si>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</si>
  <si>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</si>
  <si>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</si>
  <si>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</si>
  <si>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</si>
  <si>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</si>
  <si>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</si>
  <si>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</si>
  <si>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</si>
  <si>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</si>
  <si>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</si>
  <si>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</si>
  <si>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</si>
  <si>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</si>
  <si>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</si>
  <si>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</si>
  <si>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</si>
  <si>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</si>
  <si>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</si>
  <si>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</si>
  <si>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</si>
  <si>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</si>
  <si>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</si>
  <si>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</si>
  <si>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</si>
  <si>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</si>
  <si>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</si>
  <si>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</si>
  <si>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</si>
  <si>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</si>
  <si>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</si>
  <si>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</si>
  <si>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</si>
  <si>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</si>
  <si>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</si>
  <si>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</si>
  <si>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</si>
  <si>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</si>
  <si>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</si>
  <si>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</si>
  <si>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</si>
  <si>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</si>
  <si>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</si>
  <si>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</si>
  <si>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</si>
  <si>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</si>
  <si>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</si>
  <si>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</si>
  <si>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</si>
  <si>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</si>
  <si>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</si>
  <si>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</si>
  <si>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</si>
  <si>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</si>
  <si>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</si>
  <si>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</si>
  <si>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</si>
  <si>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</si>
  <si>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</si>
  <si>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</si>
  <si>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</si>
  <si>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</si>
  <si>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</si>
  <si>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</si>
  <si>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</si>
  <si>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</si>
  <si>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</si>
  <si>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</si>
  <si>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</si>
  <si>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</si>
  <si>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</si>
  <si>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</si>
  <si>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</si>
  <si>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</si>
  <si>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</si>
  <si>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</si>
  <si>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</si>
  <si>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</si>
  <si>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</si>
  <si>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</si>
  <si>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</si>
  <si>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</si>
  <si>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</si>
  <si>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</si>
  <si>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</si>
  <si>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</si>
  <si>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</si>
  <si>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</si>
  <si>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</si>
  <si>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</si>
  <si>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</si>
  <si>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</si>
  <si>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</si>
  <si>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</si>
  <si>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</si>
  <si>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</si>
  <si>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</si>
  <si>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</si>
  <si>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</si>
  <si>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</si>
  <si>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</si>
  <si>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</si>
  <si>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</si>
  <si>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</si>
  <si>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</si>
  <si>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</si>
  <si>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</si>
  <si>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</si>
  <si>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</si>
  <si>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</si>
  <si>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</si>
  <si>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</si>
  <si>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</si>
  <si>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</si>
  <si>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</si>
  <si>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</si>
  <si>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</si>
  <si>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</si>
  <si>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</si>
  <si>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</si>
  <si>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</si>
  <si>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</si>
  <si>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</si>
  <si>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</si>
  <si>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</si>
  <si>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</si>
  <si>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</si>
  <si>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</si>
  <si>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</si>
  <si>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</si>
  <si>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</si>
  <si>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</si>
  <si>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</si>
  <si>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</si>
  <si>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</si>
  <si>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</si>
  <si>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</si>
  <si>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</si>
  <si>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</si>
  <si>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</si>
  <si>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</si>
  <si>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</si>
  <si>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</si>
  <si>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</si>
  <si>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</si>
  <si>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</si>
  <si>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</si>
  <si>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</si>
  <si>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</si>
  <si>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</si>
  <si>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</si>
  <si>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</si>
  <si>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</si>
  <si>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</si>
  <si>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</si>
  <si>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</si>
  <si>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</si>
  <si>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</si>
  <si>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</si>
  <si>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</si>
  <si>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</si>
  <si>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</si>
  <si>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</si>
  <si>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</si>
  <si>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</si>
  <si>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</si>
  <si>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</si>
  <si>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</si>
  <si>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</si>
  <si>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</si>
  <si>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</si>
  <si>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</si>
  <si>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</si>
  <si>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</si>
  <si>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</si>
  <si>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</si>
  <si>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</si>
  <si>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</si>
  <si>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</si>
  <si>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</si>
  <si>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</si>
  <si>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</si>
  <si>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</si>
  <si>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</si>
  <si>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</si>
  <si>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</si>
  <si>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</si>
  <si>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</si>
  <si>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</si>
  <si>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</si>
  <si>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</si>
  <si>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</si>
  <si>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</si>
  <si>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</si>
  <si>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</si>
  <si>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</si>
  <si>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</si>
  <si>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</si>
  <si>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</si>
  <si>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</si>
  <si>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</si>
  <si>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</si>
  <si>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</si>
  <si>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</si>
  <si>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</si>
  <si>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</si>
  <si>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</si>
  <si>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</si>
  <si>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</si>
  <si>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</si>
  <si>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</si>
  <si>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</si>
  <si>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</si>
  <si>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</si>
  <si>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</si>
  <si>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</si>
  <si>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</si>
  <si>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</si>
  <si>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</si>
  <si>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</si>
  <si>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</si>
  <si>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</si>
  <si>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</si>
  <si>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</si>
  <si>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</si>
  <si>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</si>
  <si>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</si>
  <si>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</si>
  <si>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</si>
  <si>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</si>
  <si>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</si>
  <si>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</si>
  <si>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</si>
  <si>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</si>
  <si>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</si>
  <si>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</si>
  <si>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</si>
  <si>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</si>
  <si>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</si>
  <si>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</si>
  <si>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</si>
  <si>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</si>
  <si>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</si>
  <si>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</si>
  <si>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</si>
  <si>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</si>
  <si>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</si>
  <si>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</si>
  <si>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</si>
  <si>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</si>
  <si>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</si>
  <si>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</si>
  <si>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</si>
  <si>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</si>
  <si>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</si>
  <si>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</si>
  <si>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</si>
  <si>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</si>
  <si>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</si>
  <si>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</si>
  <si>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</si>
  <si>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</si>
  <si>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</si>
  <si>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</si>
  <si>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</si>
  <si>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</si>
  <si>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</si>
  <si>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</si>
  <si>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</si>
  <si>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</si>
  <si>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</si>
  <si>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</si>
  <si>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</si>
  <si>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</si>
  <si>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</si>
  <si>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</si>
  <si>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</si>
  <si>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</si>
  <si>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</si>
  <si>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</si>
  <si>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</si>
  <si>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</si>
  <si>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</si>
  <si>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</si>
  <si>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</si>
  <si>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</si>
  <si>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</si>
  <si>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</si>
  <si>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</si>
  <si>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</si>
  <si>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</si>
  <si>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</si>
  <si>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</si>
  <si>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</si>
  <si>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</si>
  <si>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</si>
  <si>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</si>
  <si>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</si>
  <si>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</si>
  <si>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</si>
  <si>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</si>
  <si>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</si>
  <si>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</si>
  <si>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</si>
  <si>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</si>
  <si>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</si>
  <si>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</si>
  <si>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</si>
  <si>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</si>
  <si>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</si>
  <si>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</si>
  <si>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</si>
  <si>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</si>
  <si>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</si>
  <si>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</si>
  <si>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</si>
  <si>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</si>
  <si>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</si>
  <si>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</si>
  <si>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</si>
  <si>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</si>
  <si>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</si>
  <si>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</si>
  <si>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</si>
  <si>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</si>
  <si>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</si>
  <si>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</si>
  <si>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</si>
  <si>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</si>
  <si>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</si>
  <si>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</si>
  <si>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</si>
  <si>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</si>
  <si>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</si>
  <si>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</si>
  <si>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</si>
  <si>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</si>
  <si>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</si>
  <si>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</si>
  <si>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</si>
  <si>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</si>
  <si>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</si>
  <si>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</si>
  <si>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</si>
  <si>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</si>
  <si>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</si>
  <si>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</si>
  <si>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</si>
  <si>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</si>
  <si>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</si>
  <si>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</si>
  <si>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</si>
  <si>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</si>
  <si>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</si>
  <si>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</si>
  <si>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</si>
  <si>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</si>
  <si>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</si>
  <si>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</si>
  <si>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</si>
  <si>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</si>
  <si>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</si>
  <si>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</si>
  <si>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</si>
  <si>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</si>
  <si>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</si>
  <si>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</si>
  <si>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</si>
  <si>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</si>
  <si>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</si>
  <si>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</si>
  <si>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</si>
  <si>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</si>
  <si>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</si>
  <si>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</si>
  <si>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</si>
  <si>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</si>
  <si>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</si>
  <si>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</si>
  <si>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</si>
  <si>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</si>
  <si>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</si>
  <si>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</si>
  <si>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</si>
  <si>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</si>
  <si>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</si>
  <si>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</si>
  <si>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</si>
  <si>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</si>
  <si>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</si>
  <si>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</si>
  <si>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</si>
  <si>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</si>
  <si>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</si>
  <si>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</si>
  <si>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</si>
  <si>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</si>
  <si>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</si>
  <si>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</si>
  <si>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</si>
  <si>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</si>
  <si>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</si>
  <si>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</si>
  <si>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</si>
  <si>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</si>
  <si>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</si>
  <si>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</si>
  <si>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</si>
  <si>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</si>
  <si>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</si>
  <si>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</si>
  <si>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</si>
  <si>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</si>
  <si>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</si>
  <si>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</si>
  <si>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</si>
  <si>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</si>
  <si>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</si>
  <si>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</si>
  <si>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</si>
  <si>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</si>
  <si>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</si>
  <si>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</si>
  <si>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</si>
  <si>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</si>
  <si>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</si>
  <si>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</si>
  <si>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</si>
  <si>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</si>
  <si>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</si>
  <si>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</si>
  <si>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</si>
  <si>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</si>
  <si>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</si>
  <si>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</si>
  <si>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</si>
  <si>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</si>
  <si>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</si>
  <si>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</si>
  <si>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</si>
  <si>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</si>
  <si>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</si>
  <si>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</si>
  <si>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</si>
  <si>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</si>
  <si>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</si>
  <si>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</si>
  <si>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</si>
  <si>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</si>
  <si>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</si>
  <si>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</si>
  <si>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</si>
  <si>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</si>
  <si>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</si>
  <si>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</si>
  <si>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</si>
  <si>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</si>
  <si>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</si>
  <si>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</si>
  <si>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</si>
  <si>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</si>
  <si>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</si>
  <si>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</si>
  <si>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</si>
  <si>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</si>
  <si>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</si>
  <si>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</si>
  <si>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</si>
  <si>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</si>
  <si>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</si>
  <si>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</si>
  <si>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</si>
  <si>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</si>
  <si>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</si>
  <si>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</si>
  <si>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</si>
  <si>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</si>
  <si>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</si>
  <si>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</si>
  <si>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</si>
  <si>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</si>
  <si>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</si>
  <si>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</si>
  <si>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</si>
  <si>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</si>
  <si>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</si>
  <si>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</si>
  <si>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</si>
  <si>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</si>
  <si>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</si>
  <si>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</si>
  <si>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</si>
  <si>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</si>
  <si>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</si>
  <si>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</si>
  <si>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</si>
  <si>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</si>
  <si>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</si>
  <si>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</si>
  <si>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</si>
  <si>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</si>
  <si>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</si>
  <si>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</si>
  <si>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</si>
  <si>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</si>
  <si>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</si>
  <si>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</si>
  <si>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</si>
  <si>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</si>
  <si>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</si>
  <si>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</si>
  <si>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</si>
  <si>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</si>
  <si>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</si>
  <si>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</si>
  <si>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</si>
  <si>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</si>
  <si>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</si>
  <si>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</si>
  <si>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</si>
  <si>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</si>
  <si>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</si>
  <si>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</si>
  <si>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</si>
  <si>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</si>
  <si>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</si>
  <si>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</si>
  <si>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</si>
  <si>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</si>
  <si>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</si>
  <si>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</si>
  <si>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</si>
  <si>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</si>
  <si>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</si>
  <si>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</si>
  <si>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</si>
  <si>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</si>
  <si>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</si>
  <si>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</si>
  <si>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</si>
  <si>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</si>
  <si>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</si>
  <si>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</si>
  <si>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</si>
  <si>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</si>
  <si>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</si>
  <si>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</si>
  <si>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</si>
  <si>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</si>
  <si>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</si>
  <si>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</si>
  <si>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</si>
  <si>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</si>
  <si>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</si>
  <si>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</si>
  <si>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</si>
  <si>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</si>
  <si>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</si>
  <si>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</si>
  <si>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</si>
  <si>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</si>
  <si>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</si>
  <si>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</si>
  <si>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</si>
  <si>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</si>
  <si>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</si>
  <si>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</si>
  <si>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</si>
  <si>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</si>
  <si>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</si>
  <si>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</si>
  <si>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</si>
  <si>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</si>
  <si>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</si>
  <si>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</si>
  <si>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</si>
  <si>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</si>
  <si>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</si>
  <si>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</si>
  <si>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</si>
  <si>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</si>
  <si>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</si>
  <si>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</si>
  <si>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</si>
  <si>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</si>
  <si>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</si>
  <si>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</si>
  <si>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</si>
  <si>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</si>
  <si>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</si>
  <si>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</si>
  <si>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</si>
  <si>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</si>
  <si>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</si>
  <si>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</si>
  <si>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</si>
  <si>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</si>
  <si>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</si>
  <si>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</si>
  <si>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</si>
  <si>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</si>
  <si>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</si>
  <si>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</si>
  <si>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</si>
  <si>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</si>
  <si>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</si>
  <si>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</si>
  <si>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</si>
  <si>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</si>
  <si>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</si>
  <si>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</si>
  <si>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</si>
  <si>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</si>
  <si>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</si>
  <si>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</si>
  <si>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</si>
  <si>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</si>
  <si>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</si>
  <si>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</si>
  <si>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</si>
  <si>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</si>
  <si>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</si>
  <si>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</si>
  <si>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</si>
  <si>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</si>
  <si>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</si>
  <si>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</si>
  <si>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</si>
  <si>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</si>
  <si>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</si>
  <si>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</si>
  <si>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</si>
  <si>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</si>
  <si>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</si>
  <si>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</si>
  <si>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</si>
  <si>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</si>
  <si>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</si>
  <si>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</si>
  <si>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</si>
  <si>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</si>
  <si>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</si>
  <si>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</si>
  <si>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</si>
  <si>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</si>
  <si>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</si>
  <si>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</si>
  <si>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</si>
  <si>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</si>
  <si>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</si>
  <si>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</si>
  <si>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</si>
  <si>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</si>
  <si>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</si>
  <si>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</si>
  <si>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</si>
  <si>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</si>
  <si>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</si>
  <si>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</si>
  <si>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</si>
  <si>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</si>
  <si>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</si>
  <si>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</si>
  <si>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</si>
  <si>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</si>
  <si>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</si>
  <si>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</si>
  <si>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</si>
  <si>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</si>
  <si>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</si>
  <si>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</si>
  <si>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</si>
  <si>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</si>
  <si>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</si>
  <si>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</si>
  <si>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</si>
  <si>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</si>
  <si>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</si>
  <si>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</si>
  <si>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</si>
  <si>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</si>
  <si>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</si>
  <si>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</si>
  <si>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</si>
  <si>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</si>
  <si>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</si>
  <si>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</si>
  <si>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</si>
  <si>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</si>
  <si>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</si>
  <si>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</si>
  <si>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</si>
  <si>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</si>
  <si>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</si>
  <si>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</si>
  <si>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</si>
  <si>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</si>
  <si>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</si>
  <si>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</si>
  <si>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</si>
  <si>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</si>
  <si>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</si>
  <si>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</si>
  <si>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</si>
  <si>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</si>
  <si>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</si>
  <si>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</si>
  <si>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</si>
  <si>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</si>
  <si>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</si>
  <si>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</si>
  <si>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</si>
  <si>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</si>
  <si>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</si>
  <si>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</si>
  <si>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</si>
  <si>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</si>
  <si>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</si>
  <si>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</si>
  <si>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</si>
  <si>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</si>
  <si>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</si>
  <si>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</si>
  <si>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</si>
  <si>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</si>
  <si>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</si>
  <si>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</si>
  <si>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</si>
  <si>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</si>
  <si>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</si>
  <si>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</si>
  <si>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</si>
  <si>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</si>
  <si>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</si>
  <si>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</si>
  <si>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</si>
  <si>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</si>
  <si>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</si>
  <si>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</si>
  <si>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</si>
  <si>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</si>
  <si>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</si>
  <si>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</si>
  <si>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</si>
  <si>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</si>
  <si>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</si>
  <si>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</si>
  <si>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</si>
  <si>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</si>
  <si>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</si>
  <si>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</si>
  <si>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</si>
  <si>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</si>
  <si>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</si>
  <si>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</si>
  <si>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</si>
  <si>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</si>
  <si>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</si>
  <si>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</si>
  <si>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</si>
  <si>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</si>
  <si>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</si>
  <si>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</si>
  <si>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</si>
  <si>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</si>
  <si>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</si>
  <si>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</si>
  <si>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</si>
  <si>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</si>
  <si>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</si>
  <si>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</si>
  <si>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</si>
  <si>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</si>
  <si>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</si>
  <si>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</si>
  <si>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</si>
  <si>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</si>
  <si>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</si>
  <si>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</si>
  <si>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</si>
  <si>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</si>
  <si>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</si>
  <si>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</si>
  <si>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</si>
  <si>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</si>
  <si>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</si>
  <si>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</si>
  <si>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</si>
  <si>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</si>
  <si>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</si>
  <si>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</si>
  <si>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</si>
  <si>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</si>
  <si>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</si>
  <si>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</si>
  <si>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</si>
  <si>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</si>
  <si>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</si>
  <si>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</si>
  <si>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</si>
  <si>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</si>
  <si>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</si>
  <si>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</si>
  <si>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</si>
  <si>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</si>
  <si>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</si>
  <si>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</si>
  <si>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</si>
  <si>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</si>
  <si>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</si>
  <si>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</si>
  <si>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</si>
  <si>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</si>
  <si>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</si>
  <si>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</si>
  <si>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</si>
  <si>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</si>
  <si>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</si>
  <si>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</si>
  <si>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</si>
  <si>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</si>
  <si>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</si>
  <si>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</si>
  <si>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</si>
  <si>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</si>
  <si>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</si>
  <si>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</si>
  <si>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</si>
  <si>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</si>
  <si>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</si>
  <si>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</si>
  <si>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</si>
  <si>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</si>
  <si>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</si>
  <si>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</si>
  <si>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</si>
  <si>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</si>
  <si>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</si>
  <si>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</si>
  <si>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</si>
  <si>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</si>
  <si>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</si>
  <si>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</si>
  <si>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</si>
  <si>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</si>
  <si>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</si>
  <si>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</si>
  <si>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</si>
  <si>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</si>
  <si>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</si>
  <si>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</si>
  <si>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</si>
  <si>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</si>
  <si>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</si>
  <si>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</si>
  <si>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</si>
  <si>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</si>
  <si>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</si>
  <si>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</si>
  <si>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</si>
  <si>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</si>
  <si>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</si>
  <si>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</si>
  <si>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</si>
  <si>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</si>
  <si>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</si>
  <si>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</si>
  <si>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</si>
  <si>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</si>
  <si>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</si>
  <si>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</si>
  <si>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</si>
  <si>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</si>
  <si>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</si>
  <si>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</si>
  <si>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</si>
  <si>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</si>
  <si>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</si>
  <si>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</si>
  <si>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</si>
  <si>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</si>
  <si>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</si>
  <si>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</si>
  <si>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</si>
  <si>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</si>
  <si>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</si>
  <si>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</si>
  <si>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</si>
  <si>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</si>
  <si>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</si>
  <si>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</si>
  <si>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</si>
  <si>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</si>
  <si>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</si>
  <si>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</si>
  <si>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</si>
  <si>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</si>
  <si>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</si>
  <si>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</si>
  <si>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</si>
  <si>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</si>
  <si>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</si>
  <si>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</si>
  <si>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</si>
  <si>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</si>
  <si>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</si>
  <si>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</si>
  <si>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</si>
  <si>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</si>
  <si>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</si>
  <si>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</si>
  <si>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</si>
  <si>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</si>
  <si>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</si>
  <si>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</si>
  <si>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</si>
  <si>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</si>
  <si>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</si>
  <si>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</si>
  <si>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</si>
  <si>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</si>
  <si>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</si>
  <si>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</si>
  <si>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</si>
  <si>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</si>
  <si>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</si>
  <si>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</si>
  <si>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</si>
  <si>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</si>
  <si>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</si>
  <si>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</si>
  <si>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</si>
  <si>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</si>
  <si>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</si>
  <si>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</si>
  <si>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</si>
  <si>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</si>
  <si>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</si>
  <si>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</si>
  <si>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</si>
  <si>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</si>
  <si>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</si>
  <si>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</si>
  <si>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</si>
  <si>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</si>
  <si>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</si>
  <si>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</si>
  <si>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</si>
  <si>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</si>
  <si>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</si>
  <si>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</si>
  <si>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</si>
  <si>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</si>
  <si>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</si>
  <si>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</si>
  <si>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</si>
  <si>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</si>
  <si>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</si>
  <si>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</si>
  <si>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</si>
  <si>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</si>
  <si>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</si>
  <si>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</si>
  <si>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</si>
  <si>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</si>
  <si>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</si>
  <si>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</si>
  <si>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</si>
  <si>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</si>
  <si>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</si>
  <si>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</si>
  <si>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</si>
  <si>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</si>
  <si>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</si>
  <si>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</si>
  <si>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</si>
  <si>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</si>
  <si>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</si>
  <si>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</si>
  <si>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</si>
  <si>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</si>
  <si>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</si>
  <si>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</si>
  <si>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</si>
  <si>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</si>
  <si>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</si>
  <si>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</si>
  <si>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</si>
  <si>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</si>
  <si>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</si>
  <si>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</si>
  <si>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</si>
  <si>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</si>
  <si>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</si>
  <si>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</si>
  <si>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</si>
  <si>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</si>
  <si>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</si>
  <si>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</si>
  <si>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</si>
  <si>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</si>
  <si>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</si>
  <si>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</si>
  <si>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</si>
  <si>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</si>
  <si>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</si>
  <si>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</si>
  <si>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</si>
  <si>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</si>
  <si>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</si>
  <si>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</si>
  <si>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</si>
  <si>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</si>
  <si>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</si>
  <si>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</si>
  <si>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</si>
  <si>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</si>
  <si>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</si>
  <si>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</si>
  <si>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</si>
  <si>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</si>
  <si>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</si>
  <si>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</si>
  <si>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</si>
  <si>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</si>
  <si>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</si>
  <si>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</si>
  <si>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</si>
  <si>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</si>
  <si>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</si>
  <si>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</si>
  <si>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</si>
  <si>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</si>
  <si>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</si>
  <si>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</si>
  <si>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</si>
  <si>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</si>
  <si>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</si>
  <si>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</si>
  <si>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</si>
  <si>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</si>
  <si>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</si>
  <si>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</si>
  <si>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</si>
  <si>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</si>
  <si>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</si>
  <si>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</si>
  <si>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</si>
  <si>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</si>
  <si>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</si>
  <si>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</si>
  <si>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</si>
  <si>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</si>
  <si>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</si>
  <si>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</si>
  <si>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</si>
  <si>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</si>
  <si>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</si>
  <si>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</si>
  <si>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</si>
  <si>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</si>
  <si>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</si>
  <si>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</si>
  <si>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</si>
  <si>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</si>
  <si>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</si>
  <si>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</si>
  <si>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</si>
  <si>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</si>
  <si>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</si>
  <si>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</si>
  <si>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</si>
  <si>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</si>
  <si>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</si>
  <si>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</si>
  <si>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</si>
  <si>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</si>
  <si>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</si>
  <si>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</si>
  <si>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</si>
  <si>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</si>
  <si>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</si>
  <si>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</si>
  <si>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</si>
  <si>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</si>
  <si>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</si>
  <si>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</si>
  <si>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</si>
  <si>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</si>
  <si>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</si>
  <si>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</si>
  <si>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</si>
  <si>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</si>
  <si>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</si>
  <si>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</si>
  <si>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</si>
  <si>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</si>
  <si>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</si>
  <si>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</si>
  <si>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</si>
  <si>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</si>
  <si>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</si>
  <si>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</si>
  <si>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</si>
  <si>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</si>
  <si>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</si>
  <si>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</si>
  <si>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</si>
  <si>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</si>
  <si>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</si>
  <si>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</si>
  <si>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</si>
  <si>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</si>
  <si>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</si>
  <si>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</si>
  <si>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</si>
  <si>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</si>
  <si>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</si>
  <si>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</si>
  <si>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</si>
  <si>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</si>
  <si>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</si>
  <si>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</si>
  <si>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</si>
  <si>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</si>
  <si>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</si>
  <si>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</si>
  <si>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</si>
  <si>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</si>
  <si>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</si>
  <si>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</si>
  <si>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</si>
  <si>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</si>
  <si>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</si>
  <si>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</si>
  <si>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</si>
  <si>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</si>
  <si>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</si>
  <si>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</si>
  <si>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</si>
  <si>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</si>
  <si>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</si>
  <si>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</si>
  <si>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</si>
  <si>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</si>
  <si>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</si>
  <si>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</si>
  <si>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</si>
  <si>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</si>
  <si>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</si>
  <si>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</si>
  <si>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</si>
  <si>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</si>
  <si>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</si>
  <si>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</si>
  <si>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</si>
  <si>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</si>
  <si>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</si>
  <si>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</si>
  <si>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</si>
  <si>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</si>
  <si>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</si>
  <si>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</si>
  <si>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</si>
  <si>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</si>
  <si>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</si>
  <si>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</si>
  <si>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</si>
  <si>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</si>
  <si>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</si>
  <si>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</si>
  <si>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</si>
  <si>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</si>
  <si>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</si>
  <si>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</si>
  <si>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</si>
  <si>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</si>
  <si>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</si>
  <si>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</si>
  <si>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</si>
  <si>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</si>
  <si>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</si>
  <si>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</si>
  <si>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</si>
  <si>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</si>
  <si>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</si>
  <si>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</si>
  <si>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</si>
  <si>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</si>
  <si>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</si>
  <si>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</si>
  <si>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</si>
  <si>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</si>
  <si>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</si>
  <si>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</si>
  <si>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</si>
  <si>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</si>
  <si>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</si>
  <si>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</si>
  <si>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</si>
  <si>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</si>
  <si>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</si>
  <si>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</si>
  <si>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</si>
  <si>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</si>
  <si>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</si>
  <si>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</si>
  <si>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</si>
  <si>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</si>
  <si>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</si>
  <si>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</si>
  <si>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</si>
  <si>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</si>
  <si>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</si>
  <si>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</si>
  <si>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</si>
  <si>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</si>
  <si>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</si>
  <si>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</si>
  <si>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</si>
  <si>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</si>
  <si>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</si>
  <si>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</si>
  <si>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</si>
  <si>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</si>
  <si>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</si>
  <si>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</si>
  <si>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</si>
  <si>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</si>
  <si>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</si>
  <si>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</si>
  <si>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</si>
  <si>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</si>
  <si>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</si>
  <si>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</si>
  <si>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</si>
  <si>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</si>
  <si>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</si>
  <si>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</si>
  <si>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</si>
  <si>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</si>
  <si>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</si>
  <si>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</si>
  <si>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</si>
  <si>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</si>
  <si>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</si>
  <si>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</si>
  <si>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</si>
  <si>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</si>
  <si>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</si>
  <si>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</si>
  <si>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</si>
  <si>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</si>
  <si>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</si>
  <si>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</si>
  <si>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</si>
  <si>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</si>
  <si>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</si>
  <si>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</si>
  <si>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</si>
  <si>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</si>
  <si>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</si>
  <si>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</si>
  <si>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</si>
  <si>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</si>
  <si>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</si>
  <si>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</si>
  <si>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</si>
  <si>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</si>
  <si>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</si>
  <si>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</si>
  <si>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</si>
  <si>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</si>
  <si>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</si>
  <si>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</si>
  <si>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</si>
  <si>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</si>
  <si>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</si>
  <si>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</si>
  <si>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</si>
  <si>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</si>
  <si>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</si>
  <si>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</si>
  <si>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</si>
  <si>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</si>
  <si>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</si>
  <si>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</si>
  <si>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</si>
  <si>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</si>
  <si>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</si>
  <si>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</si>
  <si>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</si>
  <si>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</si>
  <si>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</si>
  <si>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</si>
  <si>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</si>
  <si>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</si>
  <si>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</si>
  <si>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</si>
  <si>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</si>
  <si>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</si>
  <si>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</si>
  <si>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</si>
  <si>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</si>
  <si>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</si>
  <si>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</si>
  <si>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</si>
  <si>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</si>
  <si>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</si>
  <si>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</si>
  <si>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</si>
  <si>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</si>
  <si>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</si>
  <si>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</si>
  <si>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</si>
  <si>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</si>
  <si>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</si>
  <si>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</si>
  <si>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</si>
  <si>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</si>
  <si>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</si>
  <si>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</si>
  <si>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</si>
  <si>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</si>
  <si>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</si>
  <si>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</si>
  <si>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</si>
  <si>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</si>
  <si>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</si>
  <si>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</si>
  <si>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</si>
  <si>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</si>
  <si>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</si>
  <si>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</si>
  <si>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</si>
  <si>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</si>
  <si>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</si>
  <si>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</si>
  <si>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</si>
  <si>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</si>
  <si>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</si>
  <si>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</si>
  <si>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</si>
  <si>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</si>
  <si>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</si>
  <si>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</si>
  <si>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</si>
  <si>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</si>
  <si>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</si>
  <si>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</si>
  <si>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</si>
  <si>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</si>
  <si>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</si>
  <si>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</si>
  <si>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</si>
  <si>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</si>
  <si>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</si>
  <si>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</si>
  <si>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</si>
  <si>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</si>
  <si>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</si>
  <si>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</si>
  <si>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</si>
  <si>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</si>
  <si>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</si>
  <si>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</si>
  <si>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</si>
  <si>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</si>
  <si>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</si>
  <si>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</si>
  <si>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</si>
  <si>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</si>
  <si>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</si>
  <si>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</si>
  <si>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</si>
  <si>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</si>
  <si>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</si>
  <si>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</si>
  <si>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</si>
  <si>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</si>
  <si>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</si>
  <si>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</si>
  <si>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</si>
  <si>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</si>
  <si>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</si>
  <si>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</si>
  <si>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</si>
  <si>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</si>
  <si>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</si>
  <si>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</si>
  <si>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</si>
  <si>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</si>
  <si>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</si>
  <si>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</si>
  <si>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</si>
  <si>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</si>
  <si>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</si>
  <si>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</si>
  <si>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</si>
  <si>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</si>
  <si>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</si>
  <si>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</si>
  <si>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</si>
  <si>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</si>
  <si>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</si>
  <si>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</si>
  <si>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</si>
  <si>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</si>
  <si>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</si>
  <si>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</si>
  <si>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</si>
  <si>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</si>
  <si>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</si>
  <si>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</si>
  <si>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</si>
  <si>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</si>
  <si>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</si>
  <si>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</si>
  <si>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</si>
  <si>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</si>
  <si>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</si>
  <si>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</si>
  <si>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</si>
  <si>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</si>
  <si>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</si>
  <si>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</si>
  <si>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</si>
  <si>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</si>
  <si>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</si>
  <si>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</si>
  <si>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</si>
  <si>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</si>
  <si>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</si>
  <si>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</si>
  <si>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</si>
  <si>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</si>
  <si>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</si>
  <si>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</si>
  <si>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</si>
  <si>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</si>
  <si>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</si>
  <si>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</si>
  <si>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</si>
  <si>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</si>
  <si>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</si>
  <si>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</si>
  <si>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</si>
  <si>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</si>
  <si>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</si>
  <si>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</si>
  <si>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</si>
  <si>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</si>
  <si>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</si>
  <si>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</si>
  <si>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</si>
  <si>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</si>
  <si>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</si>
  <si>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</si>
  <si>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</si>
  <si>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</si>
  <si>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</si>
  <si>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</si>
  <si>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</si>
  <si>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</si>
  <si>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</si>
  <si>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</si>
  <si>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</si>
  <si>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</si>
  <si>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</si>
  <si>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</si>
  <si>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</si>
  <si>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</si>
  <si>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</si>
  <si>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</si>
  <si>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</si>
  <si>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</si>
  <si>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</si>
  <si>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</si>
  <si>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</si>
  <si>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</si>
  <si>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</si>
  <si>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</si>
  <si>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</si>
  <si>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</si>
  <si>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</si>
  <si>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</si>
  <si>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</si>
  <si>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</si>
  <si>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</si>
  <si>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</si>
  <si>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</si>
  <si>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</si>
  <si>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</si>
  <si>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</si>
  <si>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</si>
  <si>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</si>
  <si>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</si>
  <si>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</si>
  <si>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</si>
  <si>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</si>
  <si>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</si>
  <si>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</si>
  <si>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</si>
  <si>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</si>
  <si>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</si>
  <si>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</si>
  <si>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</si>
  <si>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</si>
  <si>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</si>
  <si>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</si>
  <si>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</si>
  <si>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</si>
  <si>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</si>
  <si>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</si>
  <si>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</si>
  <si>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</si>
  <si>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</si>
  <si>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</si>
  <si>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</si>
  <si>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</si>
  <si>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</si>
  <si>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</si>
  <si>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</si>
  <si>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</si>
  <si>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</si>
  <si>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</si>
  <si>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</si>
  <si>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</si>
  <si>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</si>
  <si>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</si>
  <si>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</si>
  <si>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</si>
  <si>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</si>
  <si>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</si>
  <si>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</si>
  <si>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</si>
  <si>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</si>
  <si>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</si>
  <si>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</si>
  <si>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</si>
  <si>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</si>
  <si>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</si>
  <si>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</si>
  <si>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</si>
  <si>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</si>
  <si>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</si>
  <si>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</si>
  <si>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</si>
  <si>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</si>
  <si>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</si>
  <si>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</si>
  <si>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</si>
  <si>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</si>
  <si>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</si>
  <si>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</si>
  <si>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</si>
  <si>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</si>
  <si>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</si>
  <si>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</si>
  <si>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</si>
  <si>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</si>
  <si>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</si>
  <si>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</si>
  <si>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</si>
  <si>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</si>
  <si>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</si>
  <si>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</si>
  <si>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</si>
  <si>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</si>
  <si>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</si>
  <si>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</si>
  <si>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</si>
  <si>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</si>
  <si>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</si>
  <si>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</si>
  <si>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</si>
  <si>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</si>
  <si>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</si>
  <si>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</si>
  <si>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</si>
  <si>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</si>
  <si>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</si>
  <si>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</si>
  <si>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</si>
  <si>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</si>
  <si>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</si>
  <si>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</si>
  <si>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</si>
  <si>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</si>
  <si>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</si>
  <si>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</si>
  <si>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</si>
  <si>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</si>
  <si>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</si>
  <si>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</si>
  <si>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</si>
  <si>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</si>
  <si>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</si>
  <si>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</si>
  <si>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</si>
  <si>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</si>
  <si>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</si>
  <si>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</si>
  <si>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</si>
  <si>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</si>
  <si>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</si>
  <si>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</si>
  <si>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</si>
  <si>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</si>
  <si>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</si>
  <si>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</si>
  <si>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</si>
  <si>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</si>
  <si>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</si>
  <si>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</si>
  <si>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</si>
  <si>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</si>
  <si>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</si>
  <si>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</si>
  <si>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</si>
  <si>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</si>
  <si>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</si>
  <si>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</si>
  <si>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</si>
  <si>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</si>
  <si>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</si>
  <si>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</si>
  <si>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</si>
  <si>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</si>
  <si>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</si>
  <si>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</si>
  <si>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</si>
  <si>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</si>
  <si>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</si>
  <si>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</si>
  <si>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</si>
  <si>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</si>
  <si>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</si>
  <si>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</si>
  <si>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</si>
  <si>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</si>
  <si>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</si>
  <si>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</si>
  <si>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</si>
  <si>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</si>
  <si>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</si>
  <si>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</si>
  <si>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</si>
  <si>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</si>
  <si>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</si>
  <si>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</si>
  <si>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</si>
  <si>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</si>
  <si>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</si>
  <si>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</si>
  <si>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</si>
  <si>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</si>
  <si>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</si>
  <si>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</si>
  <si>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</si>
  <si>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</si>
  <si>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</si>
  <si>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</si>
  <si>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</si>
  <si>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</si>
  <si>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</si>
  <si>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</si>
  <si>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</si>
  <si>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</si>
  <si>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</si>
  <si>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</si>
  <si>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</si>
  <si>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</si>
  <si>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</si>
  <si>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</si>
  <si>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</si>
  <si>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</si>
  <si>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</si>
  <si>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</si>
  <si>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</si>
  <si>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</si>
  <si>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</si>
  <si>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</si>
  <si>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</si>
  <si>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</si>
  <si>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</si>
  <si>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</si>
  <si>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</si>
  <si>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</si>
  <si>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</si>
  <si>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</si>
  <si>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</si>
  <si>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</si>
  <si>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</si>
  <si>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</si>
  <si>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</si>
  <si>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</si>
  <si>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</si>
  <si>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</si>
  <si>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</si>
  <si>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</si>
  <si>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</si>
  <si>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</si>
  <si>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</si>
  <si>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</si>
  <si>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</si>
  <si>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</si>
  <si>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</si>
  <si>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</si>
  <si>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</si>
  <si>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</si>
  <si>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</si>
  <si>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</si>
  <si>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</si>
  <si>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</si>
  <si>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</si>
  <si>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</si>
  <si>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</si>
  <si>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</si>
  <si>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</si>
  <si>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</si>
  <si>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</si>
  <si>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</si>
  <si>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</si>
  <si>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</si>
  <si>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</si>
  <si>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</si>
  <si>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</si>
  <si>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</si>
  <si>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</si>
  <si>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</si>
  <si>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</si>
  <si>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</si>
  <si>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</si>
  <si>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</si>
  <si>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</si>
  <si>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</si>
  <si>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</si>
  <si>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</si>
  <si>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</si>
  <si>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</si>
  <si>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</si>
  <si>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</si>
  <si>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</si>
  <si>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</si>
  <si>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</si>
  <si>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</si>
  <si>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</si>
  <si>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</si>
  <si>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</si>
  <si>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</si>
  <si>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</si>
  <si>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</si>
  <si>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</si>
  <si>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</si>
  <si>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</si>
  <si>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</si>
  <si>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</si>
  <si>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</si>
  <si>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</si>
  <si>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</si>
  <si>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</si>
  <si>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</si>
  <si>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</si>
  <si>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</si>
  <si>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</si>
  <si>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</si>
  <si>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</si>
  <si>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</si>
  <si>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</si>
  <si>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</si>
  <si>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</si>
  <si>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</si>
  <si>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</si>
  <si>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</si>
  <si>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</si>
  <si>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</si>
  <si>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</si>
  <si>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</si>
  <si>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</si>
  <si>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</si>
  <si>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</si>
  <si>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</si>
  <si>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</si>
  <si>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</si>
  <si>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</si>
  <si>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</si>
  <si>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</si>
  <si>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</si>
  <si>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</si>
  <si>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</si>
  <si>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</si>
  <si>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</si>
  <si>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</si>
  <si>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</si>
  <si>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</si>
  <si>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</si>
  <si>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</si>
  <si>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</si>
  <si>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</si>
  <si>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</si>
  <si>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</si>
  <si>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</si>
  <si>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</si>
  <si>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</si>
  <si>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</si>
  <si>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</si>
  <si>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</si>
  <si>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</si>
  <si>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</si>
  <si>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</si>
  <si>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</si>
  <si>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</si>
  <si>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</si>
  <si>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</si>
  <si>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</si>
  <si>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</si>
  <si>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</si>
  <si>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</si>
  <si>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</si>
  <si>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</si>
  <si>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</si>
  <si>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</si>
  <si>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</si>
  <si>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</si>
  <si>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</si>
  <si>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</si>
  <si>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</si>
  <si>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</si>
  <si>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</si>
  <si>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</si>
  <si>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</si>
  <si>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</si>
  <si>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</si>
  <si>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</si>
  <si>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</si>
  <si>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</si>
  <si>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</si>
  <si>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</si>
  <si>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</si>
  <si>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</si>
  <si>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</si>
  <si>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</si>
  <si>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</si>
  <si>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</si>
  <si>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</si>
  <si>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</si>
  <si>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</si>
  <si>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</si>
  <si>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</si>
  <si>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</si>
  <si>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</si>
  <si>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</si>
  <si>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</si>
  <si>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</si>
  <si>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</si>
  <si>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</si>
  <si>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</si>
  <si>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</si>
  <si>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</si>
  <si>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</si>
  <si>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</si>
  <si>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</si>
  <si>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</si>
  <si>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</si>
  <si>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</si>
  <si>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</si>
  <si>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</si>
  <si>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</si>
  <si>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</si>
  <si>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</si>
  <si>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</si>
  <si>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</si>
  <si>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</si>
  <si>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</si>
  <si>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</si>
  <si>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</si>
  <si>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</si>
  <si>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</si>
  <si>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</si>
  <si>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</si>
  <si>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</si>
  <si>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</si>
  <si>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</si>
  <si>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</si>
  <si>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</si>
  <si>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</si>
  <si>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</si>
  <si>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</si>
  <si>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</si>
  <si>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</si>
  <si>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</si>
  <si>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</si>
  <si>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</si>
  <si>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</si>
  <si>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</si>
  <si>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</si>
  <si>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</si>
  <si>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</si>
  <si>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</si>
  <si>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</si>
  <si>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</si>
  <si>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</si>
  <si>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</si>
  <si>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</si>
  <si>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</si>
  <si>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</si>
  <si>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</si>
  <si>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</si>
  <si>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</si>
  <si>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</si>
  <si>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</si>
  <si>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</si>
  <si>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</si>
  <si>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</si>
  <si>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</si>
  <si>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</si>
  <si>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</si>
  <si>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</si>
  <si>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</si>
  <si>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</si>
  <si>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</si>
  <si>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</si>
  <si>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</si>
  <si>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</si>
  <si>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</si>
  <si>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</si>
  <si>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</si>
  <si>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</si>
  <si>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</si>
  <si>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</si>
  <si>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</si>
  <si>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</si>
  <si>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</si>
  <si>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</si>
  <si>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</si>
  <si>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</si>
  <si>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</si>
  <si>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</si>
  <si>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</si>
  <si>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</si>
  <si>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</si>
  <si>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</si>
  <si>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</si>
  <si>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</si>
  <si>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</si>
  <si>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</si>
  <si>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</si>
  <si>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</si>
  <si>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</si>
  <si>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</si>
  <si>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</si>
  <si>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</si>
  <si>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</si>
  <si>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</si>
  <si>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</si>
  <si>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</si>
  <si>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</si>
  <si>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</si>
  <si>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</si>
  <si>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</si>
  <si>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</si>
  <si>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</si>
  <si>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</si>
  <si>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</si>
  <si>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</si>
  <si>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</si>
  <si>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</si>
  <si>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</si>
  <si>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</si>
  <si>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</si>
  <si>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</si>
  <si>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</si>
  <si>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</si>
  <si>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</si>
  <si>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</si>
  <si>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</si>
  <si>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</si>
  <si>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</si>
  <si>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</si>
  <si>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</si>
  <si>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</si>
  <si>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</si>
  <si>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</si>
  <si>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</si>
  <si>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</si>
  <si>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</si>
  <si>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</si>
  <si>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</si>
  <si>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</si>
  <si>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</si>
  <si>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</si>
  <si>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</si>
  <si>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</si>
  <si>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</si>
  <si>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</si>
  <si>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</si>
  <si>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</si>
  <si>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</si>
  <si>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</si>
  <si>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</si>
  <si>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</si>
  <si>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</si>
  <si>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</si>
  <si>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</si>
  <si>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</si>
  <si>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</si>
  <si>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</si>
  <si>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</si>
  <si>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</si>
  <si>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</si>
  <si>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</si>
  <si>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</si>
  <si>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</si>
  <si>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</si>
  <si>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</si>
  <si>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</si>
  <si>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</si>
  <si>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</si>
  <si>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</si>
  <si>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</si>
  <si>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</si>
  <si>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</si>
  <si>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</si>
  <si>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</si>
  <si>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</si>
  <si>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</si>
  <si>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</si>
  <si>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</si>
  <si>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</si>
  <si>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</si>
  <si>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</si>
  <si>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</si>
  <si>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</si>
  <si>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</si>
  <si>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</si>
  <si>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</si>
  <si>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</si>
  <si>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</si>
  <si>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</si>
  <si>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</si>
  <si>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</si>
  <si>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</si>
  <si>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</si>
  <si>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</si>
  <si>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</si>
  <si>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</si>
  <si>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</si>
  <si>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</si>
  <si>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</si>
  <si>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</si>
  <si>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</si>
  <si>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</si>
  <si>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</si>
  <si>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</si>
  <si>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</si>
  <si>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</si>
  <si>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</si>
  <si>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</si>
  <si>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</si>
  <si>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</si>
  <si>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</si>
  <si>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</si>
  <si>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</si>
  <si>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</si>
  <si>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</si>
  <si>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</si>
  <si>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</si>
  <si>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</si>
  <si>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</si>
  <si>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</si>
  <si>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</si>
  <si>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</si>
  <si>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</si>
  <si>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</si>
  <si>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</si>
  <si>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</si>
  <si>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</si>
  <si>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</si>
  <si>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</si>
  <si>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</si>
  <si>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</si>
  <si>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</si>
  <si>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</si>
  <si>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</si>
  <si>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</si>
  <si>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</si>
  <si>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</si>
  <si>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</si>
  <si>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</si>
  <si>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</si>
  <si>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</si>
  <si>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</si>
  <si>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</si>
  <si>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</si>
  <si>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</si>
  <si>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</si>
  <si>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</si>
  <si>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</si>
  <si>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</si>
  <si>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</si>
  <si>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</si>
  <si>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</si>
  <si>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</si>
  <si>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</si>
  <si>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</si>
  <si>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</si>
  <si>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</si>
  <si>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</si>
  <si>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</si>
  <si>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</si>
  <si>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</si>
  <si>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</si>
  <si>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</si>
  <si>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</si>
  <si>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</si>
  <si>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</si>
  <si>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</si>
  <si>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</si>
  <si>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</si>
  <si>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</si>
  <si>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</si>
  <si>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</si>
  <si>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</si>
  <si>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</si>
  <si>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</si>
  <si>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</si>
  <si>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</si>
  <si>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</si>
  <si>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</si>
  <si>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</si>
  <si>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</si>
  <si>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</si>
  <si>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</si>
  <si>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</si>
  <si>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</si>
  <si>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</si>
  <si>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</si>
  <si>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</si>
  <si>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</si>
  <si>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</si>
  <si>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</si>
  <si>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</si>
  <si>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</si>
  <si>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</si>
  <si>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</si>
  <si>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</si>
  <si>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</si>
  <si>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</si>
  <si>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</si>
  <si>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</si>
  <si>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</si>
  <si>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</si>
  <si>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</si>
  <si>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</si>
  <si>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</si>
  <si>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</si>
  <si>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</si>
  <si>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</si>
  <si>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</si>
  <si>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</si>
  <si>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</si>
  <si>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</si>
  <si>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</si>
  <si>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</si>
  <si>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</si>
  <si>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</si>
  <si>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</si>
  <si>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</si>
  <si>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</si>
  <si>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</si>
  <si>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</si>
  <si>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</si>
  <si>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</si>
  <si>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</si>
  <si>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</si>
  <si>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</si>
  <si>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</si>
  <si>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</si>
  <si>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</si>
  <si>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</si>
  <si>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</si>
  <si>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</si>
  <si>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</si>
  <si>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</si>
  <si>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</si>
  <si>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</si>
  <si>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</si>
  <si>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</si>
  <si>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</si>
  <si>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</si>
  <si>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</si>
  <si>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</si>
  <si>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</si>
  <si>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</si>
  <si>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</si>
  <si>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</si>
  <si>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</si>
  <si>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</si>
  <si>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</si>
  <si>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</si>
  <si>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</si>
  <si>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</si>
  <si>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</si>
  <si>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</si>
  <si>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</si>
  <si>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</si>
  <si>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</si>
  <si>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</si>
  <si>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</si>
  <si>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</si>
  <si>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</si>
  <si>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</si>
  <si>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</si>
  <si>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</si>
  <si>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</si>
  <si>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</si>
  <si>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</si>
  <si>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</si>
  <si>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</si>
  <si>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</si>
  <si>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</si>
  <si>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</si>
  <si>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</si>
  <si>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</si>
  <si>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</si>
  <si>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</si>
  <si>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</si>
  <si>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</si>
  <si>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</si>
  <si>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</si>
  <si>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</si>
  <si>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</si>
  <si>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</si>
  <si>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</si>
  <si>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</si>
  <si>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</si>
  <si>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</si>
  <si>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</si>
  <si>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</si>
  <si>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</si>
  <si>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</si>
  <si>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</si>
  <si>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</si>
  <si>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</si>
  <si>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</si>
  <si>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</si>
  <si>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</si>
  <si>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</si>
  <si>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</si>
  <si>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</si>
  <si>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</si>
  <si>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</si>
  <si>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</si>
  <si>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</si>
  <si>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</si>
  <si>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</si>
  <si>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</si>
  <si>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</si>
  <si>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</si>
  <si>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</si>
  <si>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</si>
  <si>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</si>
  <si>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</si>
  <si>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</si>
  <si>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</si>
  <si>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</si>
  <si>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</si>
  <si>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</si>
  <si>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</si>
  <si>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</si>
  <si>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</si>
  <si>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</si>
  <si>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</si>
  <si>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</si>
  <si>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</si>
  <si>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</si>
  <si>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</si>
  <si>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</si>
  <si>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</si>
  <si>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</si>
  <si>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</si>
  <si>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</si>
  <si>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</si>
  <si>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</si>
  <si>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</si>
  <si>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</si>
  <si>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</si>
  <si>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</si>
  <si>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</si>
  <si>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</si>
  <si>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</si>
  <si>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</si>
  <si>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</si>
  <si>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</si>
  <si>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</si>
  <si>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</si>
  <si>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</si>
  <si>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</si>
  <si>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</si>
  <si>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</si>
  <si>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</si>
  <si>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</si>
  <si>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</si>
  <si>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</si>
  <si>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</si>
  <si>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</si>
  <si>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</si>
  <si>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</si>
  <si>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</si>
  <si>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</si>
  <si>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</si>
  <si>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</si>
  <si>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</si>
  <si>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</si>
  <si>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</si>
  <si>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</si>
  <si>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</si>
  <si>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</si>
  <si>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</si>
  <si>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</si>
  <si>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</si>
  <si>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</si>
  <si>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</si>
  <si>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</si>
  <si>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</si>
  <si>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</si>
  <si>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</si>
  <si>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</si>
  <si>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</si>
  <si>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</si>
  <si>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</si>
  <si>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</si>
  <si>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</si>
  <si>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</si>
  <si>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</si>
  <si>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</si>
  <si>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</si>
  <si>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</si>
  <si>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</si>
  <si>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</si>
  <si>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</si>
  <si>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</si>
  <si>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</si>
  <si>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</si>
  <si>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</si>
  <si>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</si>
  <si>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</si>
  <si>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</si>
  <si>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</si>
  <si>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</si>
  <si>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</si>
  <si>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</si>
  <si>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</si>
  <si>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</si>
  <si>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</si>
  <si>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</si>
  <si>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</si>
  <si>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</si>
  <si>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</si>
  <si>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</si>
  <si>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</si>
  <si>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</si>
  <si>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</si>
  <si>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</si>
  <si>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</si>
  <si>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</si>
  <si>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</si>
  <si>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</si>
  <si>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</si>
  <si>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</si>
  <si>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</si>
  <si>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</si>
  <si>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</si>
  <si>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</si>
  <si>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</si>
  <si>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</si>
  <si>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</si>
  <si>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</si>
  <si>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</si>
  <si>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</si>
  <si>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</si>
  <si>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</si>
  <si>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</si>
  <si>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</si>
  <si>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</si>
  <si>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</si>
  <si>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</si>
  <si>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</si>
  <si>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</si>
  <si>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</si>
  <si>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</si>
  <si>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</si>
  <si>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</si>
  <si>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</si>
  <si>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</si>
  <si>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</si>
  <si>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</si>
  <si>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</si>
  <si>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</si>
  <si>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</si>
  <si>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</si>
  <si>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</si>
  <si>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</si>
  <si>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</si>
  <si>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</si>
  <si>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</si>
  <si>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</si>
  <si>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</si>
  <si>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</si>
  <si>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</si>
  <si>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</si>
  <si>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</si>
  <si>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</si>
  <si>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</si>
  <si>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</si>
  <si>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</si>
  <si>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</si>
  <si>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</si>
  <si>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</si>
  <si>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</si>
  <si>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</si>
  <si>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</si>
  <si>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</si>
  <si>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</si>
  <si>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</si>
  <si>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</si>
  <si>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</si>
  <si>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</si>
  <si>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</si>
  <si>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</si>
  <si>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</si>
  <si>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</si>
  <si>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</si>
  <si>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</si>
  <si>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</si>
  <si>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</si>
  <si>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</si>
  <si>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</si>
  <si>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</si>
  <si>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</si>
  <si>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</si>
  <si>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</si>
  <si>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</si>
  <si>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</si>
  <si>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</si>
  <si>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</si>
  <si>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</si>
  <si>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</si>
  <si>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</si>
  <si>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</si>
  <si>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</si>
  <si>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</si>
  <si>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</si>
  <si>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</si>
  <si>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</si>
  <si>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</si>
  <si>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</si>
  <si>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</si>
  <si>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</si>
  <si>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</si>
  <si>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</si>
  <si>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</si>
  <si>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</si>
  <si>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</si>
  <si>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</si>
  <si>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</si>
  <si>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</si>
  <si>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</si>
  <si>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</si>
  <si>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</si>
  <si>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</si>
  <si>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</si>
  <si>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</si>
  <si>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</si>
  <si>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</si>
  <si>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</si>
  <si>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</si>
  <si>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</si>
  <si>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</si>
  <si>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</si>
  <si>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</si>
  <si>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</si>
  <si>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</si>
  <si>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</si>
  <si>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</si>
  <si>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</si>
  <si>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</si>
  <si>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</si>
  <si>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</si>
  <si>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</si>
  <si>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</si>
  <si>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</si>
  <si>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</si>
  <si>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</si>
  <si>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</si>
  <si>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</si>
  <si>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</si>
  <si>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</si>
  <si>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</si>
  <si>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</si>
  <si>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</si>
  <si>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</si>
  <si>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</si>
  <si>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</si>
  <si>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</si>
  <si>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</si>
  <si>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</si>
  <si>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</si>
  <si>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</si>
  <si>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</si>
  <si>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</si>
  <si>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</si>
  <si>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</si>
  <si>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</si>
  <si>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</si>
  <si>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</si>
  <si>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</si>
  <si>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</si>
  <si>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</si>
  <si>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</si>
  <si>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</si>
  <si>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</si>
  <si>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</si>
  <si>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</si>
  <si>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</si>
  <si>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</si>
  <si>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</si>
  <si>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</si>
  <si>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</si>
  <si>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</si>
  <si>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</si>
  <si>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</si>
  <si>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</si>
  <si>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</si>
  <si>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</si>
  <si>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</si>
  <si>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</si>
  <si>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</si>
  <si>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</si>
  <si>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</si>
  <si>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</si>
  <si>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</si>
  <si>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</si>
  <si>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</si>
  <si>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</si>
  <si>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</si>
  <si>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</si>
  <si>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</si>
  <si>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</si>
  <si>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</si>
  <si>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</si>
  <si>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</si>
  <si>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</si>
  <si>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</si>
  <si>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</si>
  <si>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</si>
  <si>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</si>
  <si>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</si>
  <si>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</si>
  <si>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</si>
  <si>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</si>
  <si>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</si>
  <si>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</si>
  <si>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</si>
  <si>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</si>
  <si>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</si>
  <si>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</si>
  <si>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</si>
  <si>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</si>
  <si>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</si>
  <si>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</si>
  <si>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</si>
  <si>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</si>
  <si>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</si>
  <si>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</si>
  <si>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</si>
  <si>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</si>
  <si>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</si>
  <si>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</si>
  <si>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</si>
  <si>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</si>
  <si>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</si>
  <si>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</si>
  <si>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</si>
  <si>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</si>
  <si>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</si>
  <si>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</si>
  <si>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</si>
  <si>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</si>
  <si>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</si>
  <si>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</si>
  <si>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</si>
  <si>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</si>
  <si>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</si>
  <si>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</si>
  <si>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</si>
  <si>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</si>
  <si>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</si>
  <si>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</si>
  <si>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</si>
  <si>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</si>
  <si>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</si>
  <si>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</si>
  <si>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</si>
  <si>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</si>
  <si>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</si>
  <si>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</si>
  <si>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</si>
  <si>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</si>
  <si>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</si>
  <si>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</si>
  <si>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</si>
  <si>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</si>
  <si>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</si>
  <si>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</si>
  <si>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</si>
  <si>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</si>
  <si>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</si>
  <si>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</si>
  <si>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</si>
  <si>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</si>
  <si>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</si>
  <si>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</si>
  <si>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</si>
  <si>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</si>
  <si>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</si>
  <si>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</si>
  <si>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</si>
  <si>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</si>
  <si>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</si>
  <si>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</si>
  <si>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</si>
  <si>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</si>
  <si>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</si>
  <si>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</si>
  <si>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</si>
  <si>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</si>
  <si>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</si>
  <si>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</si>
  <si>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</si>
  <si>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</si>
  <si>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</si>
  <si>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</si>
  <si>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</si>
  <si>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</si>
  <si>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</si>
  <si>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</si>
  <si>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</si>
  <si>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</si>
  <si>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</si>
  <si>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</si>
  <si>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</si>
  <si>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</si>
  <si>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</si>
  <si>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</si>
  <si>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</si>
  <si>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</si>
  <si>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</si>
  <si>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</si>
  <si>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</si>
  <si>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</si>
  <si>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</si>
  <si>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</si>
  <si>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</si>
  <si>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</si>
  <si>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</si>
  <si>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</si>
  <si>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</si>
  <si>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</si>
  <si>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</si>
  <si>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</si>
  <si>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</si>
  <si>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</si>
  <si>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</si>
  <si>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</si>
  <si>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</si>
  <si>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</si>
  <si>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</si>
  <si>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</si>
  <si>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</si>
  <si>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</si>
  <si>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</si>
  <si>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</si>
  <si>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</si>
  <si>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</si>
  <si>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</si>
  <si>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</si>
  <si>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</si>
  <si>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</si>
  <si>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</si>
  <si>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</si>
  <si>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</si>
  <si>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</si>
  <si>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</si>
  <si>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</si>
  <si>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</si>
  <si>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</si>
  <si>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</si>
  <si>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</si>
  <si>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</si>
  <si>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</si>
  <si>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</si>
  <si>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</si>
  <si>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</si>
  <si>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</si>
  <si>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</si>
  <si>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</si>
  <si>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</si>
  <si>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</si>
  <si>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</si>
  <si>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</si>
  <si>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</si>
  <si>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</si>
  <si>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</si>
  <si>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</si>
  <si>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</si>
  <si>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</si>
  <si>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</si>
  <si>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</si>
  <si>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</si>
  <si>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</si>
  <si>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</si>
  <si>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</si>
  <si>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</si>
  <si>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</si>
  <si>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</si>
  <si>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</si>
  <si>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</si>
  <si>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</si>
  <si>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</si>
  <si>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</si>
  <si>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</si>
  <si>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</si>
  <si>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</si>
  <si>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</si>
  <si>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</si>
  <si>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</si>
  <si>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</si>
  <si>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</si>
  <si>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</si>
  <si>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</si>
  <si>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</si>
  <si>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</si>
  <si>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</si>
  <si>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</si>
  <si>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</si>
  <si>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</si>
  <si>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</si>
  <si>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</si>
  <si>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</si>
  <si>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</si>
  <si>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</si>
  <si>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</si>
  <si>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</si>
  <si>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</si>
  <si>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</si>
  <si>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</si>
  <si>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</si>
  <si>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</si>
  <si>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</si>
  <si>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</si>
  <si>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</si>
  <si>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</si>
  <si>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</si>
  <si>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</si>
  <si>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</si>
  <si>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</si>
  <si>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</si>
  <si>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</si>
  <si>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</si>
  <si>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</si>
  <si>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</si>
  <si>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</si>
  <si>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</si>
  <si>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</si>
  <si>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</si>
  <si>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</si>
  <si>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</si>
  <si>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</si>
  <si>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</si>
  <si>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</si>
  <si>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</si>
  <si>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</si>
  <si>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</si>
  <si>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</si>
  <si>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</si>
  <si>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</si>
  <si>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</si>
  <si>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</si>
  <si>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</si>
  <si>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</si>
  <si>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</si>
  <si>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</si>
  <si>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</si>
  <si>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</si>
  <si>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</si>
  <si>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</si>
  <si>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</si>
  <si>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</si>
  <si>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</si>
  <si>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</si>
  <si>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</si>
  <si>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</si>
  <si>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</si>
  <si>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</si>
  <si>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</si>
  <si>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</si>
  <si>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</si>
  <si>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</si>
  <si>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</si>
  <si>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</si>
  <si>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</si>
  <si>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</si>
  <si>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</si>
  <si>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</si>
  <si>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</si>
  <si>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</si>
  <si>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</si>
  <si>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</si>
  <si>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</si>
  <si>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</si>
  <si>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</si>
  <si>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</si>
  <si>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</si>
  <si>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</si>
  <si>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</si>
  <si>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</si>
  <si>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</si>
  <si>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</si>
  <si>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</si>
  <si>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</si>
  <si>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</si>
  <si>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</si>
  <si>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</si>
  <si>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</si>
  <si>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</si>
  <si>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</si>
  <si>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</si>
  <si>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</si>
  <si>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</si>
  <si>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</si>
  <si>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</si>
  <si>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</si>
  <si>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</si>
  <si>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</si>
  <si>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</si>
  <si>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</si>
  <si>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</si>
  <si>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</si>
  <si>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</si>
  <si>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</si>
  <si>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</si>
  <si>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</si>
  <si>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</si>
  <si>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</si>
  <si>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</si>
  <si>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</si>
  <si>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</si>
  <si>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</si>
  <si>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</si>
  <si>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</si>
  <si>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</si>
  <si>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</si>
  <si>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</si>
  <si>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</si>
  <si>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</si>
  <si>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</si>
  <si>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</si>
  <si>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</si>
  <si>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</si>
  <si>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</si>
  <si>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</si>
  <si>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</si>
  <si>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</si>
  <si>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</si>
  <si>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</si>
  <si>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</si>
  <si>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</si>
  <si>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</si>
  <si>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</si>
  <si>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</si>
  <si>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</si>
  <si>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</si>
  <si>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</si>
  <si>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</si>
  <si>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</si>
  <si>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</si>
  <si>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</si>
  <si>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</si>
  <si>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</si>
  <si>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</si>
  <si>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</si>
  <si>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</si>
  <si>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</si>
  <si>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</si>
  <si>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</si>
  <si>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</si>
  <si>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</si>
  <si>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</si>
  <si>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</si>
  <si>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</si>
  <si>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</si>
  <si>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</si>
  <si>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</si>
  <si>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</si>
  <si>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</si>
  <si>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</si>
  <si>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</si>
  <si>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</si>
  <si>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</si>
  <si>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</si>
  <si>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</si>
  <si>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</si>
  <si>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</si>
  <si>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</si>
  <si>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</si>
  <si>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</si>
  <si>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</si>
  <si>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</si>
  <si>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</si>
  <si>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</si>
  <si>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</si>
  <si>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</si>
  <si>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</si>
  <si>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</si>
  <si>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</si>
  <si>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</si>
  <si>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</si>
  <si>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</si>
  <si>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</si>
  <si>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</si>
  <si>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</si>
  <si>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</si>
  <si>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</si>
  <si>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</si>
  <si>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</si>
  <si>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</si>
  <si>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</si>
  <si>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</si>
  <si>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</si>
  <si>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</si>
  <si>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</si>
  <si>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</si>
  <si>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</si>
  <si>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</si>
  <si>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</si>
  <si>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</si>
  <si>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</si>
  <si>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</si>
  <si>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</si>
  <si>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</si>
  <si>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</si>
  <si>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</si>
  <si>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</si>
  <si>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</si>
  <si>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</si>
  <si>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</si>
  <si>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</si>
  <si>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</si>
  <si>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</si>
  <si>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</si>
  <si>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</si>
  <si>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</si>
  <si>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</si>
  <si>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</si>
  <si>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</si>
  <si>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</si>
  <si>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</si>
  <si>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</si>
  <si>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</si>
  <si>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</si>
  <si>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</si>
  <si>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</si>
  <si>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</si>
  <si>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</si>
  <si>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</si>
  <si>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</si>
  <si>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</si>
  <si>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</si>
  <si>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</si>
  <si>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</si>
  <si>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</si>
  <si>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</si>
  <si>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</si>
  <si>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</si>
  <si>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</si>
  <si>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</si>
  <si>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</si>
  <si>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</si>
  <si>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</si>
  <si>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</si>
  <si>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</si>
  <si>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</si>
  <si>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</si>
  <si>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</si>
  <si>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</si>
  <si>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</si>
  <si>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</si>
  <si>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</si>
  <si>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</si>
  <si>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</si>
  <si>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</si>
  <si>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</si>
  <si>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</si>
  <si>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</si>
  <si>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</si>
  <si>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</si>
  <si>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</si>
  <si>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</si>
  <si>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</si>
  <si>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</si>
  <si>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</si>
  <si>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</si>
  <si>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</si>
  <si>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</si>
  <si>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</si>
  <si>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</si>
  <si>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</si>
  <si>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</si>
  <si>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</si>
  <si>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</si>
  <si>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</si>
  <si>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</si>
  <si>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</si>
  <si>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</si>
  <si>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</si>
  <si>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</si>
  <si>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</si>
  <si>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</si>
  <si>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</si>
  <si>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</si>
  <si>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</si>
  <si>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</si>
  <si>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</si>
  <si>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</si>
  <si>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</si>
  <si>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</si>
  <si>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</si>
  <si>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</si>
  <si>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</si>
  <si>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</si>
  <si>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</si>
  <si>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</si>
  <si>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</si>
  <si>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</si>
  <si>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</si>
  <si>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</si>
  <si>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</si>
  <si>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</si>
  <si>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</si>
  <si>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</si>
  <si>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</si>
  <si>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</si>
  <si>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</si>
  <si>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</si>
  <si>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</si>
  <si>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</si>
  <si>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</si>
  <si>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</si>
  <si>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</si>
  <si>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</si>
  <si>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</si>
  <si>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</si>
  <si>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</si>
  <si>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</si>
  <si>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</si>
  <si>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</si>
  <si>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</si>
  <si>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</si>
  <si>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</si>
  <si>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</si>
  <si>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</si>
  <si>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</si>
  <si>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</si>
  <si>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</si>
  <si>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</si>
  <si>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</si>
  <si>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</si>
  <si>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</si>
  <si>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</si>
  <si>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</si>
  <si>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</si>
  <si>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</si>
  <si>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</si>
  <si>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</si>
  <si>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</si>
  <si>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</si>
  <si>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</si>
  <si>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</si>
  <si>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</si>
  <si>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</si>
  <si>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</si>
  <si>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</si>
  <si>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</si>
  <si>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</si>
  <si>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</si>
  <si>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</si>
  <si>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</si>
  <si>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</si>
  <si>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</si>
  <si>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</si>
  <si>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</si>
  <si>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</si>
  <si>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</si>
  <si>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</si>
  <si>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</si>
  <si>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</si>
  <si>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</si>
  <si>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</si>
  <si>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</si>
  <si>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</si>
  <si>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</si>
  <si>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</si>
  <si>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</si>
  <si>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</si>
  <si>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</si>
  <si>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</si>
  <si>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</si>
  <si>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</si>
  <si>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</si>
  <si>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</si>
  <si>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</si>
  <si>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</si>
  <si>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</si>
  <si>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</si>
  <si>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</si>
  <si>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</si>
  <si>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</si>
  <si>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</si>
  <si>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</si>
  <si>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</si>
  <si>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</si>
  <si>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</si>
  <si>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</si>
  <si>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</si>
  <si>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</si>
  <si>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</si>
  <si>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</si>
  <si>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</si>
  <si>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</si>
  <si>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</si>
  <si>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</si>
  <si>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</si>
  <si>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</si>
  <si>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</si>
  <si>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</si>
  <si>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</si>
  <si>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</si>
  <si>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</si>
  <si>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</si>
  <si>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</si>
  <si>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</si>
  <si>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</si>
  <si>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</si>
  <si>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</si>
  <si>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</si>
  <si>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</si>
  <si>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</si>
  <si>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</si>
  <si>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</si>
  <si>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</si>
  <si>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</si>
  <si>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</si>
  <si>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</si>
  <si>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</si>
  <si>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</si>
  <si>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</si>
  <si>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</si>
  <si>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</si>
  <si>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</si>
  <si>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</si>
  <si>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</si>
  <si>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</si>
  <si>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</si>
  <si>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</si>
  <si>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</si>
  <si>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</si>
  <si>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</si>
  <si>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</si>
  <si>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</si>
  <si>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</si>
  <si>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</si>
  <si>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</si>
  <si>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</si>
  <si>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</si>
  <si>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</si>
  <si>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</si>
  <si>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</si>
  <si>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</si>
  <si>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</si>
  <si>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</si>
  <si>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</si>
  <si>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</si>
  <si>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</si>
  <si>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</si>
  <si>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</si>
  <si>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</si>
  <si>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</si>
  <si>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</si>
  <si>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</si>
  <si>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</si>
  <si>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</si>
  <si>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</si>
  <si>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</si>
  <si>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</si>
  <si>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</si>
  <si>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</si>
  <si>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</si>
  <si>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</si>
  <si>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</si>
  <si>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</si>
  <si>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</si>
  <si>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</si>
  <si>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</si>
  <si>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</si>
  <si>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</si>
  <si>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</si>
  <si>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</si>
  <si>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</si>
  <si>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</si>
  <si>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</si>
  <si>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</si>
  <si>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</si>
  <si>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</si>
  <si>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</si>
  <si>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</si>
  <si>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</si>
  <si>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</si>
  <si>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</si>
  <si>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</si>
  <si>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</si>
  <si>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</si>
  <si>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</si>
  <si>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</si>
  <si>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</si>
  <si>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</si>
  <si>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</si>
  <si>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</si>
  <si>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</si>
  <si>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</si>
  <si>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</si>
  <si>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</si>
  <si>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</si>
  <si>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</si>
  <si>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</si>
  <si>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</si>
  <si>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</si>
  <si>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</si>
  <si>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</si>
  <si>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</si>
  <si>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</si>
  <si>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</si>
  <si>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</si>
  <si>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</si>
  <si>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</si>
  <si>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</si>
  <si>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</si>
  <si>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</si>
  <si>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</si>
  <si>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</si>
  <si>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</si>
  <si>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</si>
  <si>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</si>
  <si>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</si>
  <si>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</si>
  <si>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</si>
  <si>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</si>
  <si>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</si>
  <si>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</si>
  <si>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</si>
  <si>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</si>
  <si>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</si>
  <si>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</si>
  <si>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</si>
  <si>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</si>
  <si>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</si>
  <si>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</si>
  <si>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</si>
  <si>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</si>
  <si>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</si>
  <si>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</si>
  <si>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</si>
  <si>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</si>
  <si>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</si>
  <si>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</si>
  <si>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</si>
  <si>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</si>
  <si>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</si>
  <si>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</si>
  <si>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</si>
  <si>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</si>
  <si>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</si>
  <si>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</si>
  <si>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</si>
  <si>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</si>
  <si>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</si>
  <si>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</si>
  <si>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</si>
  <si>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</si>
  <si>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</si>
  <si>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</si>
  <si>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</si>
  <si>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</si>
  <si>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</si>
  <si>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</si>
  <si>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</si>
  <si>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</si>
  <si>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</si>
  <si>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</si>
  <si>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</si>
  <si>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</si>
  <si>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</si>
  <si>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</si>
  <si>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</si>
  <si>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</si>
  <si>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</si>
  <si>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</si>
  <si>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</si>
  <si>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</si>
  <si>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</si>
  <si>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</si>
  <si>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</si>
  <si>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</si>
  <si>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</si>
  <si>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</si>
  <si>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</si>
  <si>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</si>
  <si>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</si>
  <si>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</si>
  <si>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</si>
  <si>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</si>
  <si>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</si>
  <si>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</si>
  <si>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</si>
  <si>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</si>
  <si>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</si>
  <si>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</si>
  <si>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</si>
  <si>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</si>
  <si>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</si>
  <si>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</si>
  <si>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</si>
  <si>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</si>
  <si>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</si>
  <si>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</si>
  <si>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</si>
  <si>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</si>
  <si>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</si>
  <si>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</si>
  <si>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</si>
  <si>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</si>
  <si>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</si>
  <si>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</si>
  <si>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</si>
  <si>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</si>
  <si>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</si>
  <si>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</si>
  <si>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</si>
  <si>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</si>
  <si>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</si>
  <si>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</si>
  <si>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</si>
  <si>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</si>
  <si>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</si>
  <si>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</si>
  <si>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</si>
  <si>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</si>
  <si>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</si>
  <si>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</si>
  <si>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</si>
  <si>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</si>
  <si>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</si>
  <si>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</si>
  <si>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</si>
  <si>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</si>
  <si>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</si>
  <si>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</si>
  <si>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</si>
  <si>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</si>
  <si>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</si>
  <si>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</si>
  <si>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</si>
  <si>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</si>
  <si>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</si>
  <si>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</si>
  <si>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</si>
  <si>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</si>
  <si>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</si>
  <si>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</si>
  <si>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</si>
  <si>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</si>
  <si>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</si>
  <si>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</si>
  <si>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</si>
  <si>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</si>
  <si>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</si>
  <si>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</si>
  <si>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</si>
  <si>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</si>
  <si>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</si>
  <si>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</si>
  <si>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</si>
  <si>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</si>
  <si>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</si>
  <si>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</si>
  <si>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</si>
  <si>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</si>
  <si>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</si>
  <si>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</si>
  <si>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</si>
  <si>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</si>
  <si>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</si>
  <si>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</si>
  <si>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</si>
  <si>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</si>
  <si>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</si>
  <si>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</si>
  <si>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</si>
  <si>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</si>
  <si>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</si>
  <si>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</si>
  <si>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</si>
  <si>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</si>
  <si>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</si>
  <si>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</si>
  <si>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</si>
  <si>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</si>
  <si>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</si>
  <si>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</si>
  <si>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</si>
  <si>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</si>
  <si>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</si>
  <si>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</si>
  <si>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</si>
  <si>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</si>
  <si>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</si>
  <si>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</si>
  <si>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</si>
  <si>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</si>
  <si>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</si>
  <si>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</si>
  <si>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</si>
  <si>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</si>
  <si>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</si>
  <si>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</si>
  <si>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</si>
  <si>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</si>
  <si>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</si>
  <si>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</si>
  <si>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</si>
  <si>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</si>
  <si>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</si>
  <si>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</si>
  <si>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</si>
  <si>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</si>
  <si>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</si>
  <si>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</si>
  <si>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</si>
  <si>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</si>
  <si>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</si>
  <si>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</si>
  <si>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</si>
  <si>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</si>
  <si>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</si>
  <si>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</si>
  <si>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</si>
  <si>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</si>
  <si>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</si>
  <si>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</si>
  <si>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</si>
  <si>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</si>
  <si>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</si>
  <si>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</si>
  <si>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</si>
  <si>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</si>
  <si>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</si>
  <si>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</si>
  <si>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</si>
  <si>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</si>
  <si>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</si>
  <si>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</si>
  <si>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</si>
  <si>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</si>
  <si>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</si>
  <si>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</si>
  <si>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</si>
  <si>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</si>
  <si>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</si>
  <si>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</si>
  <si>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</si>
  <si>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</si>
  <si>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</si>
  <si>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</si>
  <si>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</si>
  <si>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</si>
  <si>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</si>
  <si>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</si>
  <si>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</si>
  <si>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</si>
  <si>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</si>
  <si>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</si>
  <si>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</si>
  <si>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</si>
  <si>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</si>
  <si>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</si>
  <si>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</si>
  <si>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</si>
  <si>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</si>
  <si>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</si>
  <si>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</si>
  <si>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</si>
  <si>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</si>
  <si>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</si>
  <si>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</si>
  <si>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</si>
  <si>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</si>
  <si>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</si>
  <si>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</si>
  <si>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</si>
  <si>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</si>
  <si>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</si>
  <si>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</si>
  <si>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</si>
  <si>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</si>
  <si>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</si>
  <si>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</si>
  <si>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</si>
  <si>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</si>
  <si>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</si>
  <si>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</si>
  <si>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</si>
  <si>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</si>
  <si>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</si>
  <si>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</si>
  <si>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</si>
  <si>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</si>
  <si>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</si>
  <si>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</si>
  <si>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</si>
  <si>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</si>
  <si>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</si>
  <si>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</si>
  <si>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</si>
  <si>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</si>
  <si>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</si>
  <si>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</si>
  <si>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</si>
  <si>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</si>
  <si>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</si>
  <si>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</si>
  <si>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</si>
  <si>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</si>
  <si>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</si>
  <si>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</si>
  <si>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</si>
  <si>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</si>
  <si>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</si>
  <si>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</si>
  <si>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</si>
  <si>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</si>
  <si>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</si>
  <si>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</si>
  <si>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</si>
  <si>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</si>
  <si>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</si>
  <si>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</si>
  <si>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</si>
  <si>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</si>
  <si>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</si>
  <si>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</si>
  <si>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</si>
  <si>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</si>
  <si>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</si>
  <si>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</si>
  <si>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</si>
  <si>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</si>
  <si>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</si>
  <si>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</si>
  <si>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</si>
  <si>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</si>
  <si>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</si>
  <si>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</si>
  <si>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</si>
  <si>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</si>
  <si>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</si>
  <si>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</si>
  <si>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</si>
  <si>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</si>
  <si>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</si>
  <si>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</si>
  <si>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</si>
  <si>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</si>
  <si>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</si>
  <si>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</si>
  <si>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</si>
  <si>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</si>
  <si>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</si>
  <si>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</si>
  <si>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</si>
  <si>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</si>
  <si>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</si>
  <si>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</si>
  <si>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</si>
  <si>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</si>
  <si>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</si>
  <si>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</si>
  <si>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</si>
  <si>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</si>
  <si>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</si>
  <si>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</si>
  <si>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</si>
  <si>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</si>
  <si>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</si>
  <si>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</si>
  <si>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</si>
  <si>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</si>
  <si>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</si>
  <si>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</si>
  <si>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</si>
  <si>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</si>
  <si>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</si>
  <si>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</si>
  <si>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</si>
  <si>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</si>
  <si>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</si>
  <si>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</si>
  <si>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</si>
  <si>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</si>
  <si>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</si>
  <si>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</si>
  <si>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</si>
  <si>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</si>
  <si>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</si>
  <si>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</si>
  <si>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</si>
  <si>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</si>
  <si>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</si>
  <si>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</si>
  <si>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</si>
  <si>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</si>
  <si>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</si>
  <si>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</si>
  <si>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</si>
  <si>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</si>
  <si>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</si>
  <si>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</si>
  <si>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</si>
  <si>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</si>
  <si>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</si>
  <si>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</si>
  <si>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</si>
  <si>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</si>
  <si>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</si>
  <si>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</si>
  <si>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</si>
  <si>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</si>
  <si>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</si>
  <si>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</si>
  <si>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</si>
  <si>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</si>
  <si>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</si>
  <si>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</si>
  <si>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</si>
  <si>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</si>
  <si>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</si>
  <si>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</si>
  <si>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</si>
  <si>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</si>
  <si>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</si>
  <si>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</si>
  <si>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</si>
  <si>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</si>
  <si>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</si>
  <si>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</si>
  <si>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</si>
  <si>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</si>
  <si>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</si>
  <si>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</si>
  <si>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</si>
  <si>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</si>
  <si>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</si>
  <si>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</si>
  <si>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</si>
  <si>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</si>
  <si>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</si>
  <si>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</si>
  <si>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</si>
  <si>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</si>
  <si>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</si>
  <si>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</si>
  <si>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</si>
  <si>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</si>
  <si>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</si>
  <si>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</si>
  <si>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</si>
  <si>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</si>
  <si>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</si>
  <si>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</si>
  <si>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</si>
  <si>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</si>
  <si>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</si>
  <si>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</si>
  <si>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</si>
  <si>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</si>
  <si>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</si>
  <si>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</si>
  <si>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</si>
  <si>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</si>
  <si>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</si>
  <si>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</si>
  <si>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</si>
  <si>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</si>
  <si>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</si>
  <si>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</si>
  <si>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</si>
  <si>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</si>
  <si>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</si>
  <si>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</si>
  <si>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</si>
  <si>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</si>
  <si>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</si>
  <si>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</si>
  <si>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</si>
  <si>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</si>
  <si>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</si>
  <si>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</si>
  <si>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</si>
  <si>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</si>
  <si>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</si>
  <si>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</si>
  <si>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</si>
  <si>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</si>
  <si>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</si>
  <si>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</si>
  <si>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</si>
  <si>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</si>
  <si>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</si>
  <si>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</si>
  <si>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</si>
  <si>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</si>
  <si>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</si>
  <si>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</si>
  <si>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</si>
  <si>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</si>
  <si>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</si>
  <si>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</si>
  <si>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</si>
  <si>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</si>
  <si>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</si>
  <si>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</si>
  <si>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</si>
  <si>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</si>
  <si>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</si>
  <si>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</si>
  <si>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</si>
  <si>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</si>
  <si>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</si>
  <si>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</si>
  <si>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</si>
  <si>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</si>
  <si>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</si>
  <si>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</si>
  <si>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</si>
  <si>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</si>
  <si>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</si>
  <si>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</si>
  <si>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</si>
  <si>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</si>
  <si>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</si>
  <si>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</si>
  <si>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</si>
  <si>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</si>
  <si>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</si>
  <si>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</si>
  <si>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</si>
  <si>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</si>
  <si>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</si>
  <si>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</si>
  <si>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</si>
  <si>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</si>
  <si>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</si>
  <si>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</si>
  <si>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</si>
  <si>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</si>
  <si>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</si>
  <si>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</si>
  <si>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</si>
  <si>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</si>
  <si>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</si>
  <si>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</si>
  <si>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</si>
  <si>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</si>
  <si>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</si>
  <si>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</si>
  <si>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</si>
  <si>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</si>
  <si>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</si>
  <si>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</si>
  <si>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</si>
  <si>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</si>
  <si>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</si>
  <si>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</si>
  <si>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</si>
  <si>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</si>
  <si>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</si>
  <si>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</si>
  <si>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</si>
  <si>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</si>
  <si>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</si>
  <si>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</si>
  <si>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</si>
  <si>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</si>
  <si>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</si>
  <si>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</si>
  <si>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</si>
  <si>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</si>
  <si>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</si>
  <si>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</si>
  <si>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</si>
  <si>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</si>
  <si>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</si>
  <si>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</si>
  <si>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</si>
  <si>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</si>
  <si>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</si>
  <si>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</si>
  <si>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</si>
  <si>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</si>
  <si>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</si>
  <si>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</si>
  <si>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</si>
  <si>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</si>
  <si>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</si>
  <si>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</si>
  <si>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</si>
  <si>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</si>
  <si>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</si>
  <si>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</si>
  <si>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</si>
  <si>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</si>
  <si>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</si>
  <si>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</si>
  <si>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</si>
  <si>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</si>
  <si>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</si>
  <si>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</si>
  <si>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</si>
  <si>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</si>
  <si>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</si>
  <si>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</si>
  <si>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</si>
  <si>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</si>
  <si>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</si>
  <si>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</si>
  <si>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</si>
  <si>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</si>
  <si>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</si>
  <si>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</si>
  <si>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</si>
  <si>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</si>
  <si>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</si>
  <si>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</si>
  <si>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</si>
  <si>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</si>
  <si>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</si>
  <si>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</si>
  <si>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</si>
  <si>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</si>
  <si>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</si>
  <si>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</si>
  <si>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</si>
  <si>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</si>
  <si>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</si>
  <si>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</si>
  <si>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</si>
  <si>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</si>
  <si>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</si>
  <si>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</si>
  <si>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</si>
  <si>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</si>
  <si>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</si>
  <si>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</si>
  <si>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</si>
  <si>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</si>
  <si>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</si>
  <si>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</si>
  <si>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</si>
  <si>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</si>
  <si>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</si>
  <si>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</si>
  <si>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</si>
  <si>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</si>
  <si>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</si>
  <si>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</si>
  <si>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</si>
  <si>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</si>
  <si>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</si>
  <si>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</si>
  <si>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</si>
  <si>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</si>
  <si>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</si>
  <si>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</si>
  <si>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</si>
  <si>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</si>
  <si>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</si>
  <si>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</si>
  <si>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</si>
  <si>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</si>
  <si>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</si>
  <si>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</si>
  <si>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</si>
  <si>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</si>
  <si>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</si>
  <si>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</si>
  <si>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</si>
  <si>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</si>
  <si>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</si>
  <si>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</si>
  <si>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</si>
  <si>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</si>
  <si>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</si>
  <si>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</si>
  <si>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</si>
  <si>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</si>
  <si>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</si>
  <si>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</si>
  <si>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</si>
  <si>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</si>
  <si>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</si>
  <si>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</si>
  <si>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</si>
  <si>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</si>
  <si>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</si>
  <si>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</si>
  <si>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</si>
  <si>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</si>
  <si>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</si>
  <si>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</si>
  <si>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</si>
  <si>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</si>
  <si>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</si>
  <si>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</si>
  <si>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</si>
  <si>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</si>
  <si>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</si>
  <si>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</si>
  <si>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</si>
  <si>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</si>
  <si>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</si>
  <si>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</si>
  <si>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</si>
  <si>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</si>
  <si>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</si>
  <si>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</si>
  <si>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</si>
  <si>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</si>
  <si>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</si>
  <si>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</si>
  <si>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</si>
  <si>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</si>
  <si>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</si>
  <si>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</si>
  <si>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</si>
  <si>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</si>
  <si>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</si>
  <si>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</si>
  <si>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</si>
  <si>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</si>
  <si>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</si>
  <si>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</si>
  <si>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</si>
  <si>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</si>
  <si>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</si>
  <si>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</si>
  <si>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</si>
  <si>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</si>
  <si>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</si>
  <si>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</si>
  <si>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</si>
  <si>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</si>
  <si>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</si>
  <si>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</si>
  <si>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</si>
  <si>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</si>
  <si>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</si>
  <si>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</si>
  <si>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</si>
  <si>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</si>
  <si>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</si>
  <si>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</si>
  <si>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</si>
  <si>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</si>
  <si>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</si>
  <si>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</si>
  <si>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</si>
  <si>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</si>
  <si>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</si>
  <si>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</si>
  <si>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</si>
  <si>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</si>
  <si>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</si>
  <si>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</si>
  <si>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</si>
  <si>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</si>
  <si>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</si>
  <si>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</si>
  <si>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</si>
  <si>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</si>
  <si>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</si>
  <si>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</si>
  <si>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</si>
  <si>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</si>
  <si>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</si>
  <si>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</si>
  <si>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</si>
  <si>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</si>
  <si>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</si>
  <si>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</si>
  <si>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</si>
  <si>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</si>
  <si>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</si>
  <si>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</si>
  <si>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</si>
  <si>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</si>
  <si>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</si>
  <si>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</si>
  <si>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</si>
  <si>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</si>
  <si>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</si>
  <si>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</si>
  <si>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</si>
  <si>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</si>
  <si>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</si>
  <si>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</si>
  <si>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</si>
  <si>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</si>
  <si>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</si>
  <si>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</si>
  <si>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</si>
  <si>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</si>
  <si>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</si>
  <si>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</si>
  <si>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</si>
  <si>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</si>
  <si>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</si>
  <si>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</si>
  <si>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</si>
  <si>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</si>
  <si>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</si>
  <si>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</si>
  <si>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</si>
  <si>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</si>
  <si>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</si>
  <si>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</si>
  <si>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</si>
  <si>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</si>
  <si>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</si>
  <si>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</si>
  <si>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</si>
  <si>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</si>
  <si>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</si>
  <si>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</si>
  <si>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</si>
  <si>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</si>
  <si>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</si>
  <si>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</si>
  <si>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</si>
  <si>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</si>
  <si>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</si>
  <si>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</si>
  <si>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</si>
  <si>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</si>
  <si>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</si>
  <si>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</si>
  <si>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</si>
  <si>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</si>
  <si>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</si>
  <si>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</si>
  <si>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</si>
  <si>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</si>
  <si>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</si>
  <si>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</si>
  <si>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</si>
  <si>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</si>
  <si>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</si>
  <si>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</si>
  <si>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</si>
  <si>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</si>
  <si>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</si>
  <si>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</si>
  <si>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</si>
  <si>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</si>
  <si>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</si>
  <si>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</si>
  <si>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</si>
  <si>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</si>
  <si>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</si>
  <si>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</si>
  <si>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</si>
  <si>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</si>
  <si>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</si>
  <si>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</si>
  <si>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</si>
  <si>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</si>
  <si>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</si>
  <si>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</si>
  <si>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</si>
  <si>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</si>
  <si>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</si>
  <si>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</si>
  <si>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</si>
  <si>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</si>
  <si>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</si>
  <si>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</si>
  <si>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</si>
  <si>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</si>
  <si>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</si>
  <si>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</si>
  <si>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</si>
  <si>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</si>
  <si>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</si>
  <si>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</si>
  <si>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</si>
  <si>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</si>
  <si>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</si>
  <si>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</si>
  <si>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</si>
  <si>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</si>
  <si>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</si>
  <si>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</si>
  <si>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</si>
  <si>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</si>
  <si>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</si>
  <si>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</si>
  <si>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</si>
  <si>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</si>
  <si>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</si>
  <si>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</si>
  <si>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</si>
  <si>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</si>
  <si>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</si>
  <si>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</si>
  <si>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</si>
  <si>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</si>
  <si>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</si>
  <si>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</si>
  <si>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</si>
  <si>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</si>
  <si>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</si>
  <si>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</si>
  <si>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</si>
  <si>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</si>
  <si>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</si>
  <si>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</si>
  <si>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</si>
  <si>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</si>
  <si>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</si>
  <si>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</si>
  <si>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</si>
  <si>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</si>
  <si>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</si>
  <si>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</si>
  <si>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</si>
  <si>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</si>
  <si>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</si>
  <si>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</si>
  <si>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</si>
  <si>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</si>
  <si>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</si>
  <si>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</si>
  <si>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</si>
  <si>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</si>
  <si>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</si>
  <si>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</si>
  <si>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</si>
  <si>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</si>
  <si>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</si>
  <si>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</si>
  <si>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</si>
  <si>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</si>
  <si>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</si>
  <si>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</si>
  <si>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</si>
  <si>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</si>
  <si>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</si>
  <si>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</si>
  <si>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</si>
  <si>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</si>
  <si>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</si>
  <si>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</si>
  <si>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</si>
  <si>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</si>
  <si>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</si>
  <si>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</si>
  <si>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</si>
  <si>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</si>
  <si>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</si>
  <si>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</si>
  <si>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</si>
  <si>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</si>
  <si>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</si>
  <si>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</si>
  <si>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</si>
  <si>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</si>
  <si>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</si>
  <si>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</si>
  <si>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</si>
  <si>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</si>
  <si>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</si>
  <si>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</si>
  <si>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</si>
  <si>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</si>
  <si>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</si>
  <si>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</si>
  <si>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</si>
  <si>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</si>
  <si>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</si>
  <si>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</si>
  <si>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</si>
  <si>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</si>
  <si>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</si>
  <si>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</si>
  <si>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</si>
  <si>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</si>
  <si>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</si>
  <si>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</si>
  <si>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</si>
  <si>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</si>
  <si>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</si>
  <si>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</si>
  <si>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</si>
  <si>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</si>
  <si>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</si>
  <si>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</si>
  <si>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</si>
  <si>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</si>
  <si>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</si>
  <si>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</si>
  <si>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</si>
  <si>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</si>
  <si>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</si>
  <si>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</si>
  <si>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</si>
  <si>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</si>
  <si>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</si>
  <si>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</si>
  <si>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</si>
  <si>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</si>
  <si>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</si>
  <si>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</si>
  <si>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</si>
  <si>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</si>
  <si>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</si>
  <si>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</si>
  <si>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</si>
  <si>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</si>
  <si>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</si>
  <si>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</si>
  <si>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</si>
  <si>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</si>
  <si>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</si>
  <si>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</si>
  <si>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</si>
  <si>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</si>
  <si>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</si>
  <si>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</si>
  <si>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</si>
  <si>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</si>
  <si>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</si>
  <si>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</si>
  <si>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</si>
  <si>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</si>
  <si>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</si>
  <si>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</si>
  <si>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</si>
  <si>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</si>
  <si>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</si>
  <si>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</si>
  <si>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</si>
  <si>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</si>
  <si>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</si>
  <si>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</si>
  <si>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</si>
  <si>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</si>
  <si>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</si>
  <si>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</si>
  <si>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</si>
  <si>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</si>
  <si>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</si>
  <si>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</si>
  <si>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</si>
  <si>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</si>
  <si>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</si>
  <si>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</si>
  <si>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</si>
  <si>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</si>
  <si>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</si>
  <si>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</si>
  <si>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</si>
  <si>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</si>
  <si>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</si>
  <si>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</si>
  <si>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</si>
  <si>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</si>
  <si>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</si>
  <si>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</si>
  <si>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</si>
  <si>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</si>
  <si>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</si>
  <si>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</si>
  <si>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</si>
  <si>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</si>
  <si>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</si>
  <si>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</si>
  <si>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</si>
  <si>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</si>
  <si>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</si>
  <si>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</si>
  <si>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</si>
  <si>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</si>
  <si>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</si>
  <si>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</si>
  <si>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</si>
  <si>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</si>
  <si>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</si>
  <si>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</si>
  <si>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</si>
  <si>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</si>
  <si>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</si>
  <si>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</si>
  <si>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</si>
  <si>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</si>
  <si>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</si>
  <si>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</si>
  <si>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</si>
  <si>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</si>
  <si>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</si>
  <si>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</si>
  <si>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</si>
  <si>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</si>
  <si>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</si>
  <si>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</si>
  <si>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</si>
  <si>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</si>
  <si>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</si>
  <si>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</si>
  <si>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</si>
  <si>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</si>
  <si>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</si>
  <si>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</si>
  <si>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</si>
  <si>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</si>
  <si>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</si>
  <si>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</si>
  <si>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</si>
  <si>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</si>
  <si>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</si>
  <si>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</si>
  <si>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</si>
  <si>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</si>
  <si>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</si>
  <si>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</si>
  <si>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</si>
  <si>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</si>
  <si>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</si>
  <si>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</si>
  <si>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</si>
  <si>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</si>
  <si>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</si>
  <si>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</si>
  <si>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</si>
  <si>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</si>
  <si>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</si>
  <si>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</si>
  <si>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</si>
  <si>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</si>
  <si>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</si>
  <si>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</si>
  <si>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</si>
  <si>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</si>
  <si>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</si>
  <si>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</si>
  <si>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</si>
  <si>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</si>
  <si>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</si>
  <si>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</si>
  <si>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</si>
  <si>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</si>
  <si>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</si>
  <si>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</si>
  <si>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</si>
  <si>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</si>
  <si>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</si>
  <si>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</si>
  <si>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</si>
  <si>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</si>
  <si>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</si>
  <si>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</si>
  <si>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</si>
  <si>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</si>
  <si>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</si>
  <si>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</si>
  <si>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</si>
  <si>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</si>
  <si>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</si>
  <si>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</si>
  <si>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</si>
  <si>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</si>
  <si>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</si>
  <si>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</si>
  <si>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</si>
  <si>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</si>
  <si>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</si>
  <si>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</si>
  <si>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</si>
  <si>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</si>
  <si>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</si>
  <si>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</si>
  <si>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</si>
  <si>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</si>
  <si>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</si>
  <si>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</si>
  <si>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</si>
  <si>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</si>
  <si>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</si>
  <si>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</si>
  <si>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</si>
  <si>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</si>
  <si>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</si>
  <si>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</si>
  <si>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</si>
  <si>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</si>
  <si>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</si>
  <si>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</si>
  <si>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</si>
  <si>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</si>
  <si>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</si>
  <si>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</si>
  <si>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</si>
  <si>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</si>
  <si>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</si>
  <si>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</si>
  <si>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</si>
  <si>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</si>
  <si>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</si>
  <si>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</si>
  <si>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</si>
  <si>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</si>
  <si>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</si>
  <si>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</si>
  <si>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</si>
  <si>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</si>
  <si>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</si>
  <si>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</si>
  <si>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</si>
  <si>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</si>
  <si>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</si>
  <si>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</si>
  <si>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</si>
  <si>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</si>
  <si>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</si>
  <si>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</si>
  <si>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</si>
  <si>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</si>
  <si>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</si>
  <si>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</si>
  <si>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</si>
  <si>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</si>
  <si>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</si>
  <si>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</si>
  <si>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</si>
  <si>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</si>
  <si>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</si>
  <si>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</si>
  <si>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</si>
  <si>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</si>
  <si>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</si>
  <si>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</si>
  <si>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</si>
  <si>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</si>
  <si>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</si>
  <si>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</si>
  <si>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</si>
  <si>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</si>
  <si>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</si>
  <si>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</si>
  <si>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</si>
  <si>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</si>
  <si>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</si>
  <si>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</si>
  <si>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</si>
  <si>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</si>
  <si>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</si>
  <si>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</si>
  <si>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</si>
  <si>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</si>
  <si>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</si>
  <si>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</si>
  <si>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</si>
  <si>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</si>
  <si>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</si>
  <si>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</si>
  <si>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</si>
  <si>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</si>
  <si>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</si>
  <si>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</si>
  <si>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</si>
  <si>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</si>
  <si>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</si>
  <si>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</si>
  <si>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</si>
  <si>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</si>
  <si>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</si>
  <si>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</si>
  <si>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</si>
  <si>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</si>
  <si>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</si>
  <si>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</si>
  <si>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</si>
  <si>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</si>
  <si>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</si>
  <si>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</si>
  <si>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</si>
  <si>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</si>
  <si>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</si>
  <si>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</si>
  <si>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</si>
  <si>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</si>
  <si>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</si>
  <si>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</si>
  <si>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</si>
  <si>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</si>
  <si>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</si>
  <si>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</si>
  <si>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</si>
  <si>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</si>
  <si>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</si>
  <si>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</si>
  <si>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</si>
  <si>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</si>
  <si>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</si>
  <si>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</si>
  <si>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</si>
  <si>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</si>
  <si>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</si>
  <si>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</si>
  <si>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</si>
  <si>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</si>
  <si>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</si>
  <si>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</si>
  <si>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</si>
  <si>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</si>
  <si>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</si>
  <si>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</si>
  <si>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</si>
  <si>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</si>
  <si>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</si>
  <si>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</si>
  <si>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</si>
  <si>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</si>
  <si>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</si>
  <si>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</si>
  <si>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</si>
  <si>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</si>
  <si>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</si>
  <si>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</si>
  <si>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</si>
  <si>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</si>
  <si>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</si>
  <si>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</si>
  <si>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</si>
  <si>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</si>
  <si>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</si>
  <si>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</si>
  <si>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</si>
  <si>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</si>
  <si>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</si>
  <si>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</si>
  <si>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</si>
  <si>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</si>
  <si>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</si>
  <si>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</si>
  <si>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</si>
  <si>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</si>
  <si>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</si>
  <si>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</si>
  <si>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</si>
  <si>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</si>
  <si>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</si>
  <si>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</si>
  <si>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</si>
  <si>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</si>
  <si>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</si>
  <si>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</si>
  <si>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</si>
  <si>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</si>
  <si>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</si>
  <si>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</si>
  <si>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</si>
  <si>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</si>
  <si>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</si>
  <si>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</si>
  <si>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</si>
  <si>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</si>
  <si>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</si>
  <si>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</si>
  <si>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</si>
  <si>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</si>
  <si>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</si>
  <si>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</si>
  <si>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</si>
  <si>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</si>
  <si>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</si>
  <si>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</si>
  <si>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</si>
  <si>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</si>
  <si>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</si>
  <si>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</si>
  <si>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</si>
  <si>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</si>
  <si>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</si>
  <si>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</si>
  <si>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</si>
  <si>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</si>
  <si>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</si>
  <si>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</si>
  <si>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</si>
  <si>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</si>
  <si>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</si>
  <si>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</si>
  <si>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</si>
  <si>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</si>
  <si>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</si>
  <si>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</si>
  <si>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</si>
  <si>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</si>
  <si>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</si>
  <si>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</si>
  <si>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</si>
  <si>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</si>
  <si>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</si>
  <si>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</si>
  <si>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</si>
  <si>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</si>
  <si>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</si>
  <si>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</si>
  <si>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</si>
  <si>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</si>
  <si>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</si>
  <si>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</si>
  <si>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</si>
  <si>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</si>
  <si>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</si>
  <si>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</si>
  <si>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</si>
  <si>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</si>
  <si>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</si>
  <si>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</si>
  <si>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</si>
  <si>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</si>
  <si>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</si>
  <si>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</si>
  <si>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</si>
  <si>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</si>
  <si>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</si>
  <si>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</si>
  <si>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</si>
  <si>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</si>
  <si>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</si>
  <si>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</si>
  <si>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</si>
  <si>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</si>
  <si>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</si>
  <si>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</si>
  <si>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</si>
  <si>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</si>
  <si>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</si>
  <si>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</si>
  <si>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</si>
  <si>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</si>
  <si>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</si>
  <si>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</si>
  <si>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</si>
  <si>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</si>
  <si>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</si>
  <si>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</si>
  <si>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</si>
  <si>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</si>
  <si>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</si>
  <si>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</si>
  <si>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</si>
  <si>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</si>
  <si>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</si>
  <si>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</si>
  <si>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</si>
  <si>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</si>
  <si>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</si>
  <si>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</si>
  <si>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</si>
  <si>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</si>
  <si>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</si>
  <si>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</si>
  <si>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</si>
  <si>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</si>
  <si>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</si>
  <si>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</si>
  <si>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</si>
  <si>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</si>
  <si>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</si>
  <si>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</si>
  <si>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</si>
  <si>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</si>
  <si>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</si>
  <si>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</si>
  <si>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</si>
  <si>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</si>
  <si>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</si>
  <si>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</si>
  <si>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</si>
  <si>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</si>
  <si>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</si>
  <si>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</si>
  <si>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</si>
  <si>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</si>
  <si>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</si>
  <si>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</si>
  <si>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</si>
  <si>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</si>
  <si>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</si>
  <si>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</si>
  <si>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</si>
  <si>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</si>
  <si>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</si>
  <si>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</si>
  <si>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</si>
  <si>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</si>
  <si>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</si>
  <si>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</si>
  <si>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</si>
  <si>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</si>
  <si>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</si>
  <si>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</si>
  <si>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</si>
  <si>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</si>
  <si>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</si>
  <si>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</si>
  <si>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</si>
  <si>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</si>
  <si>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</si>
  <si>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</si>
  <si>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</si>
  <si>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</si>
  <si>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</si>
  <si>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</si>
  <si>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</si>
  <si>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</si>
  <si>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</si>
  <si>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</si>
  <si>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</si>
  <si>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</si>
  <si>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</si>
  <si>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</si>
  <si>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</si>
  <si>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</si>
  <si>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</si>
  <si>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</si>
  <si>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</si>
  <si>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</si>
  <si>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</si>
  <si>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</si>
  <si>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</si>
  <si>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</si>
  <si>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</si>
  <si>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</si>
  <si>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</si>
  <si>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</si>
  <si>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</si>
  <si>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</si>
  <si>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</si>
  <si>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</si>
  <si>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</si>
  <si>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</si>
  <si>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</si>
  <si>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</si>
  <si>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</si>
  <si>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</si>
  <si>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</si>
  <si>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</si>
  <si>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</si>
  <si>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</si>
  <si>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</si>
  <si>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</si>
  <si>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</si>
  <si>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</si>
  <si>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</si>
  <si>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</si>
  <si>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</si>
  <si>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</si>
  <si>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</si>
  <si>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</si>
  <si>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</si>
  <si>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</si>
  <si>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</si>
  <si>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</si>
  <si>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</si>
  <si>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</si>
  <si>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</si>
  <si>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</si>
  <si>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</si>
  <si>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</si>
  <si>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</si>
  <si>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</si>
  <si>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</si>
  <si>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</si>
  <si>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</si>
  <si>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</si>
  <si>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</si>
  <si>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</si>
  <si>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</si>
  <si>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</si>
  <si>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</si>
  <si>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</si>
  <si>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</si>
  <si>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</si>
  <si>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</si>
  <si>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</si>
  <si>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</si>
  <si>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</si>
  <si>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</si>
  <si>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</si>
  <si>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</si>
  <si>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</si>
  <si>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</si>
  <si>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</si>
  <si>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</si>
  <si>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</si>
  <si>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</si>
  <si>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</si>
  <si>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</si>
  <si>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</si>
  <si>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</si>
  <si>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</si>
  <si>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</si>
  <si>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</si>
  <si>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</si>
  <si>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</si>
  <si>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</si>
  <si>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</si>
  <si>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</si>
  <si>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</si>
  <si>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</si>
  <si>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</si>
  <si>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</si>
  <si>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</si>
  <si>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</si>
  <si>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</si>
  <si>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</si>
  <si>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</si>
  <si>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</si>
  <si>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</si>
  <si>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</si>
  <si>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</si>
  <si>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</si>
  <si>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</si>
  <si>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</si>
  <si>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</si>
  <si>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</si>
  <si>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</si>
  <si>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</si>
  <si>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</si>
  <si>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</si>
  <si>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</si>
  <si>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</si>
  <si>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</si>
  <si>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</si>
  <si>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</si>
  <si>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</si>
  <si>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</si>
  <si>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</si>
  <si>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</si>
  <si>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</si>
  <si>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</si>
  <si>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</si>
  <si>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</si>
  <si>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</si>
  <si>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</si>
  <si>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</si>
  <si>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</si>
  <si>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</si>
  <si>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</si>
  <si>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</si>
  <si>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</si>
  <si>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</si>
  <si>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</si>
  <si>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</si>
  <si>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</si>
  <si>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</si>
  <si>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</si>
  <si>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</si>
  <si>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</si>
  <si>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</si>
  <si>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</si>
  <si>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</si>
  <si>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</si>
  <si>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</si>
  <si>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</si>
  <si>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</si>
  <si>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</si>
  <si>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</si>
  <si>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</si>
  <si>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</si>
  <si>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</si>
  <si>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</si>
  <si>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</si>
  <si>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</si>
  <si>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</si>
  <si>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</si>
  <si>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</si>
  <si>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</si>
  <si>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</si>
  <si>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</si>
  <si>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</si>
  <si>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</si>
  <si>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</si>
  <si>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</si>
  <si>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</si>
  <si>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</si>
  <si>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</si>
  <si>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</si>
  <si>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</si>
  <si>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</si>
  <si>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</si>
  <si>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</si>
  <si>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</si>
  <si>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</si>
  <si>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</si>
  <si>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</si>
  <si>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</si>
  <si>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</si>
  <si>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</si>
  <si>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</si>
  <si>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</si>
  <si>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</si>
  <si>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</si>
  <si>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</si>
  <si>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</si>
  <si>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</si>
  <si>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</si>
  <si>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</si>
  <si>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</si>
  <si>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</si>
  <si>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</si>
  <si>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</si>
  <si>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</si>
  <si>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</si>
  <si>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</si>
  <si>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</si>
  <si>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</si>
  <si>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</si>
  <si>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</si>
  <si>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</si>
  <si>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</si>
  <si>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</si>
  <si>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</si>
  <si>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</si>
  <si>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</si>
  <si>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</si>
  <si>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</si>
  <si>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</si>
  <si>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</si>
  <si>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</si>
  <si>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</si>
  <si>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</si>
  <si>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</si>
  <si>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</si>
  <si>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</si>
  <si>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</si>
  <si>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</si>
  <si>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</si>
  <si>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</si>
  <si>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</si>
  <si>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</si>
  <si>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</si>
  <si>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</si>
  <si>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</si>
  <si>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</si>
  <si>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</si>
  <si>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</si>
  <si>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</si>
  <si>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</si>
  <si>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</si>
  <si>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</si>
  <si>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</si>
  <si>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</si>
  <si>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</si>
  <si>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</si>
  <si>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</si>
  <si>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</si>
  <si>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</si>
  <si>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</si>
  <si>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</si>
  <si>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</si>
  <si>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</si>
  <si>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</si>
  <si>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</si>
  <si>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</si>
  <si>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</si>
  <si>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</si>
  <si>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</si>
  <si>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</si>
  <si>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</si>
  <si>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</si>
  <si>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</si>
  <si>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</si>
  <si>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</si>
  <si>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</si>
  <si>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</si>
  <si>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</si>
  <si>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</si>
  <si>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</si>
  <si>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</si>
  <si>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</si>
  <si>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</si>
  <si>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</si>
  <si>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</si>
  <si>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</si>
  <si>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</si>
  <si>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</si>
  <si>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</si>
  <si>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</si>
  <si>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</si>
  <si>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</si>
  <si>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</si>
  <si>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</si>
  <si>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</si>
  <si>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</si>
  <si>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</si>
  <si>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</si>
  <si>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</si>
  <si>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</si>
  <si>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</si>
  <si>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</si>
  <si>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</si>
  <si>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</si>
  <si>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</si>
  <si>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</si>
  <si>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</si>
  <si>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</si>
  <si>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</si>
  <si>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</si>
  <si>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</si>
  <si>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</si>
  <si>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</si>
  <si>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</si>
  <si>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</si>
  <si>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</si>
  <si>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</si>
  <si>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</si>
  <si>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</si>
  <si>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</si>
  <si>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</si>
  <si>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</si>
  <si>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</si>
  <si>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</si>
  <si>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</si>
  <si>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</si>
  <si>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</si>
  <si>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</si>
  <si>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</si>
  <si>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</si>
  <si>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</si>
  <si>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</si>
  <si>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</si>
  <si>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</si>
  <si>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</si>
  <si>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</si>
  <si>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</si>
  <si>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</si>
  <si>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</si>
  <si>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</si>
  <si>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</si>
  <si>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</si>
  <si>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</si>
  <si>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</si>
  <si>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</si>
  <si>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</si>
  <si>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</si>
  <si>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</si>
  <si>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</si>
  <si>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</si>
  <si>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</si>
  <si>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</si>
  <si>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</si>
  <si>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</si>
  <si>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</si>
  <si>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</si>
  <si>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</si>
  <si>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</si>
  <si>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</si>
  <si>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</si>
  <si>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</si>
  <si>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</si>
  <si>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</si>
  <si>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</si>
  <si>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</si>
  <si>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</si>
  <si>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</si>
  <si>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</si>
  <si>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</si>
  <si>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</si>
  <si>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</si>
  <si>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</si>
  <si>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</si>
  <si>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</si>
  <si>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</si>
  <si>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</si>
  <si>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</si>
  <si>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</si>
  <si>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</si>
  <si>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</si>
  <si>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</si>
  <si>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</si>
  <si>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</si>
  <si>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</si>
  <si>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</si>
  <si>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</si>
  <si>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</si>
  <si>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</si>
  <si>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</si>
  <si>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</si>
  <si>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</si>
  <si>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</si>
  <si>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</si>
  <si>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</si>
  <si>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</si>
  <si>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</si>
  <si>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</si>
  <si>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</si>
  <si>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</si>
  <si>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</si>
  <si>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</si>
  <si>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</si>
  <si>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</si>
  <si>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</si>
  <si>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</si>
  <si>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</si>
  <si>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</si>
  <si>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</si>
  <si>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</si>
  <si>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</si>
  <si>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</si>
  <si>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</si>
  <si>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</si>
  <si>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</si>
  <si>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</si>
  <si>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</si>
  <si>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</si>
  <si>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</si>
  <si>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</si>
  <si>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</si>
  <si>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</si>
  <si>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</si>
  <si>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</si>
  <si>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</si>
  <si>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</si>
  <si>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</si>
  <si>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</si>
  <si>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</si>
  <si>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</si>
  <si>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</si>
  <si>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</si>
  <si>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</si>
  <si>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</si>
  <si>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</si>
  <si>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</si>
  <si>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</si>
  <si>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</si>
  <si>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</si>
  <si>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</si>
  <si>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</si>
  <si>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</si>
  <si>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</si>
  <si>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</si>
  <si>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</si>
  <si>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</si>
  <si>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</si>
  <si>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</si>
  <si>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</si>
  <si>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</si>
  <si>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</si>
  <si>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</si>
  <si>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</si>
  <si>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</si>
  <si>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</si>
  <si>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</si>
  <si>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</si>
  <si>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</si>
  <si>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</si>
  <si>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</si>
  <si>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</si>
  <si>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</si>
  <si>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</si>
  <si>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</si>
  <si>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</si>
  <si>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</si>
  <si>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</si>
  <si>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</si>
  <si>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</si>
  <si>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</si>
  <si>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</si>
  <si>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</si>
  <si>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</si>
  <si>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</si>
  <si>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</si>
  <si>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</si>
  <si>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</si>
  <si>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</si>
  <si>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</si>
  <si>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</si>
  <si>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</si>
  <si>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</si>
  <si>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</si>
  <si>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</si>
  <si>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</si>
  <si>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</si>
  <si>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</si>
  <si>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</si>
  <si>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</si>
  <si>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</si>
  <si>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</si>
  <si>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</si>
  <si>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</si>
  <si>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</si>
  <si>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</si>
  <si>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</si>
  <si>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</si>
  <si>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</si>
  <si>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</si>
  <si>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</si>
  <si>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</si>
  <si>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</si>
  <si>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</si>
  <si>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</si>
  <si>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</si>
  <si>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</si>
  <si>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</si>
  <si>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</si>
  <si>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</si>
  <si>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</si>
  <si>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</si>
  <si>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</si>
  <si>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</si>
  <si>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</si>
  <si>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</si>
  <si>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</si>
  <si>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</si>
  <si>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</si>
  <si>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</si>
  <si>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</si>
  <si>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</si>
  <si>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</si>
  <si>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</si>
  <si>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</si>
  <si>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</si>
  <si>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</si>
  <si>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</si>
  <si>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</si>
  <si>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</si>
  <si>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</si>
  <si>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</si>
  <si>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</si>
  <si>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</si>
  <si>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</si>
  <si>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</si>
  <si>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</si>
  <si>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</si>
  <si>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</si>
  <si>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</si>
  <si>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</si>
  <si>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</si>
  <si>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</si>
  <si>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</si>
  <si>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</si>
  <si>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</si>
  <si>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</si>
  <si>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</si>
  <si>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</si>
  <si>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</si>
  <si>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</si>
  <si>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</si>
  <si>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</si>
  <si>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</si>
  <si>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</si>
  <si>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</si>
  <si>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</si>
  <si>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</si>
  <si>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</si>
  <si>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</si>
  <si>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</si>
  <si>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</si>
  <si>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</si>
  <si>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</si>
  <si>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</si>
  <si>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</si>
  <si>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</si>
  <si>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</si>
  <si>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</si>
  <si>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</si>
  <si>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</si>
  <si>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</si>
  <si>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</si>
  <si>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</si>
  <si>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</si>
  <si>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</si>
  <si>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</si>
  <si>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</si>
  <si>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</si>
  <si>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</si>
  <si>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</si>
  <si>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</si>
  <si>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</si>
  <si>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</si>
  <si>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</si>
  <si>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</si>
  <si>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</si>
  <si>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</si>
  <si>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</si>
  <si>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</si>
  <si>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</si>
  <si>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</si>
  <si>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</si>
  <si>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</si>
  <si>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</si>
  <si>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</si>
  <si>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</si>
  <si>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</si>
  <si>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</si>
  <si>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</si>
  <si>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</si>
  <si>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</si>
  <si>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</si>
  <si>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</si>
  <si>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</si>
  <si>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</si>
  <si>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</si>
  <si>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</si>
  <si>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</si>
  <si>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</si>
  <si>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</si>
  <si>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</si>
  <si>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</si>
  <si>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</si>
  <si>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</si>
  <si>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</si>
  <si>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</si>
  <si>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</si>
  <si>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</si>
  <si>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</si>
  <si>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</si>
  <si>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</si>
  <si>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</si>
  <si>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</si>
  <si>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</si>
  <si>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</si>
  <si>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</si>
  <si>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</si>
  <si>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</si>
  <si>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</si>
  <si>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</si>
  <si>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</si>
  <si>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</si>
  <si>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</si>
  <si>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</si>
  <si>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</si>
  <si>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</si>
  <si>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</si>
  <si>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</si>
  <si>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</si>
  <si>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</si>
  <si>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</si>
  <si>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</si>
  <si>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</si>
  <si>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</si>
  <si>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</si>
  <si>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</si>
  <si>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</si>
  <si>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</si>
  <si>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</si>
  <si>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</si>
  <si>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</si>
  <si>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</si>
  <si>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</si>
  <si>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</si>
  <si>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</si>
  <si>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</si>
  <si>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</si>
  <si>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</si>
  <si>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</si>
  <si>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</si>
  <si>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</si>
  <si>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</si>
  <si>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</si>
  <si>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</si>
  <si>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</si>
  <si>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</si>
  <si>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</si>
  <si>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</si>
  <si>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</si>
  <si>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</si>
  <si>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</si>
  <si>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</si>
  <si>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</si>
  <si>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</si>
  <si>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</si>
  <si>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</si>
  <si>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</si>
  <si>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</si>
  <si>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</si>
  <si>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</si>
  <si>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</si>
  <si>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</si>
  <si>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</si>
  <si>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</si>
  <si>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</si>
  <si>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</si>
  <si>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</si>
  <si>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</si>
  <si>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</si>
  <si>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</si>
  <si>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</si>
  <si>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</si>
  <si>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</si>
  <si>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</si>
  <si>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</si>
  <si>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</si>
  <si>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</si>
  <si>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</si>
  <si>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</si>
  <si>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</si>
  <si>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</si>
  <si>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</si>
  <si>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</si>
  <si>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</si>
  <si>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</si>
  <si>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</si>
  <si>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</si>
  <si>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</si>
  <si>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</si>
  <si>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</si>
  <si>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</si>
  <si>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</si>
  <si>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</si>
  <si>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</si>
  <si>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</si>
  <si>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</si>
  <si>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</si>
  <si>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</si>
  <si>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</si>
  <si>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</si>
  <si>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</si>
  <si>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</si>
  <si>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</si>
  <si>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</si>
  <si>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</si>
  <si>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</si>
  <si>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</si>
  <si>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</si>
  <si>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</si>
  <si>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</si>
  <si>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</si>
  <si>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</si>
  <si>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</si>
  <si>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</si>
  <si>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</si>
  <si>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</si>
  <si>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</si>
  <si>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</si>
  <si>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</si>
  <si>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</si>
  <si>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</si>
  <si>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</si>
  <si>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</si>
  <si>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</si>
  <si>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</si>
  <si>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</si>
  <si>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</si>
  <si>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</si>
  <si>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</si>
  <si>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</si>
  <si>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</si>
  <si>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</si>
  <si>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</si>
  <si>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</si>
  <si>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</si>
  <si>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</si>
  <si>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</si>
  <si>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</si>
  <si>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</si>
  <si>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</si>
  <si>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</si>
  <si>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</si>
  <si>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</si>
  <si>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</si>
  <si>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</si>
  <si>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</si>
  <si>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</si>
  <si>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</si>
  <si>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</si>
  <si>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</si>
  <si>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</si>
  <si>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</si>
  <si>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</si>
  <si>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</si>
  <si>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</si>
  <si>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</si>
  <si>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</si>
  <si>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</si>
  <si>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</si>
  <si>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</si>
  <si>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</si>
  <si>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</si>
  <si>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</si>
  <si>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</si>
  <si>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</si>
  <si>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</si>
  <si>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</si>
  <si>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</si>
  <si>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</si>
  <si>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</si>
  <si>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</si>
  <si>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</si>
  <si>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</si>
  <si>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</si>
  <si>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</si>
  <si>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</si>
  <si>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</si>
  <si>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</si>
  <si>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</si>
  <si>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</si>
  <si>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</si>
  <si>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</si>
  <si>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</si>
  <si>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</si>
  <si>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</si>
  <si>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</si>
  <si>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</si>
  <si>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</si>
  <si>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</si>
  <si>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</si>
  <si>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</si>
  <si>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</si>
  <si>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</si>
  <si>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</si>
  <si>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</si>
  <si>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</si>
  <si>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</si>
  <si>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</si>
  <si>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</si>
  <si>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</si>
  <si>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</si>
  <si>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</si>
  <si>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</si>
  <si>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</si>
  <si>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</si>
  <si>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</si>
  <si>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</si>
  <si>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</si>
  <si>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</si>
  <si>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</si>
  <si>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</si>
  <si>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</si>
  <si>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</si>
  <si>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</si>
  <si>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</si>
  <si>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</si>
  <si>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</si>
  <si>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</si>
  <si>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</si>
  <si>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</si>
  <si>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</si>
  <si>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</si>
  <si>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</si>
  <si>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</si>
  <si>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</si>
  <si>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</si>
  <si>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</si>
  <si>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</si>
  <si>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</si>
  <si>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</si>
  <si>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</si>
  <si>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</si>
  <si>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</si>
  <si>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</si>
  <si>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</si>
  <si>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</si>
  <si>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</si>
  <si>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</si>
  <si>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</si>
  <si>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</si>
  <si>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</si>
  <si>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</si>
  <si>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</si>
  <si>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</si>
  <si>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</si>
  <si>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</si>
  <si>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</si>
  <si>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</si>
  <si>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</si>
  <si>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</si>
  <si>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</si>
  <si>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</si>
  <si>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</si>
  <si>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</si>
  <si>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</si>
  <si>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</si>
  <si>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</si>
  <si>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</si>
  <si>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</si>
  <si>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</si>
  <si>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</si>
  <si>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</si>
  <si>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</si>
  <si>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</si>
  <si>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</si>
  <si>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</si>
  <si>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</si>
  <si>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</si>
  <si>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</si>
  <si>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</si>
  <si>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</si>
  <si>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</si>
  <si>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</si>
  <si>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</si>
  <si>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</si>
  <si>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</si>
  <si>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</si>
  <si>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</si>
  <si>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</si>
  <si>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</si>
  <si>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</si>
  <si>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</si>
  <si>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</si>
  <si>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</si>
  <si>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</si>
  <si>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</si>
  <si>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</si>
  <si>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</si>
  <si>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</si>
  <si>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</si>
  <si>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</si>
  <si>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</si>
  <si>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</si>
  <si>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</si>
  <si>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</si>
  <si>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</si>
  <si>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</si>
  <si>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</si>
  <si>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</si>
  <si>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</si>
  <si>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</si>
  <si>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</si>
  <si>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</si>
  <si>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</si>
  <si>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</si>
  <si>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</si>
  <si>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</si>
  <si>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</si>
  <si>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</si>
  <si>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</si>
  <si>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</si>
  <si>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</si>
  <si>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</si>
  <si>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</si>
  <si>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</si>
  <si>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</si>
  <si>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</si>
  <si>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</si>
  <si>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</si>
  <si>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</si>
  <si>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</si>
  <si>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</si>
  <si>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</si>
  <si>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</si>
  <si>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</si>
  <si>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</si>
  <si>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</si>
  <si>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</si>
  <si>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</si>
  <si>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</si>
  <si>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</si>
  <si>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</si>
  <si>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</si>
  <si>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</si>
  <si>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</si>
  <si>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</si>
  <si>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</si>
  <si>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</si>
  <si>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</si>
  <si>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</si>
  <si>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</si>
  <si>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</si>
  <si>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</si>
  <si>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</si>
  <si>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</si>
  <si>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</si>
  <si>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</si>
  <si>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</si>
  <si>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</si>
  <si>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</si>
  <si>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</si>
  <si>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</si>
  <si>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</si>
  <si>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</si>
  <si>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</si>
  <si>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</si>
  <si>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</si>
  <si>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</si>
  <si>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</si>
  <si>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</si>
  <si>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</si>
  <si>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</si>
  <si>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</si>
  <si>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</si>
  <si>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</si>
  <si>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</si>
  <si>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</si>
  <si>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</si>
  <si>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</si>
  <si>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</si>
  <si>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</si>
  <si>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</si>
  <si>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</si>
  <si>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</si>
  <si>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</si>
  <si>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</si>
  <si>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</si>
  <si>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</si>
  <si>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</si>
  <si>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</si>
  <si>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</si>
  <si>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</si>
  <si>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</si>
  <si>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</si>
  <si>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</si>
  <si>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</si>
  <si>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</si>
  <si>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</si>
  <si>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</si>
  <si>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</si>
  <si>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</si>
  <si>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</si>
  <si>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</si>
  <si>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</si>
  <si>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</si>
  <si>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</si>
  <si>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</si>
  <si>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</si>
  <si>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</si>
  <si>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</si>
  <si>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</si>
  <si>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</si>
  <si>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</si>
  <si>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</si>
  <si>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</si>
  <si>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</si>
  <si>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</si>
  <si>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</si>
  <si>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</si>
  <si>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</si>
  <si>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</si>
  <si>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</si>
  <si>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</si>
  <si>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</si>
  <si>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</si>
  <si>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</si>
  <si>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</si>
  <si>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</si>
  <si>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</si>
  <si>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</si>
  <si>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</si>
  <si>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</si>
  <si>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</si>
  <si>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</si>
  <si>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</si>
  <si>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</si>
  <si>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</si>
  <si>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</si>
  <si>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</si>
  <si>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</si>
  <si>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</si>
  <si>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</si>
  <si>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</si>
  <si>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</si>
  <si>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</si>
  <si>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</si>
  <si>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</si>
  <si>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</si>
  <si>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</si>
  <si>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</si>
  <si>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</si>
  <si>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</si>
  <si>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</si>
  <si>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</si>
  <si>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</si>
  <si>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</si>
  <si>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</si>
  <si>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</si>
  <si>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</si>
  <si>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</si>
  <si>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</si>
  <si>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</si>
  <si>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</si>
  <si>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</si>
  <si>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</si>
  <si>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</si>
  <si>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</si>
  <si>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</si>
  <si>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</si>
  <si>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</si>
  <si>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</si>
  <si>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</si>
  <si>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</si>
  <si>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</si>
  <si>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</si>
  <si>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</si>
  <si>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</si>
  <si>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</si>
  <si>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</si>
  <si>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</si>
  <si>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</si>
  <si>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</si>
  <si>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</si>
  <si>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</si>
  <si>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</si>
  <si>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</si>
  <si>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</si>
  <si>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</si>
  <si>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</si>
  <si>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</si>
  <si>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</si>
  <si>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</si>
  <si>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</si>
  <si>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</si>
  <si>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</si>
  <si>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</si>
  <si>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</si>
  <si>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</si>
  <si>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</si>
  <si>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</si>
  <si>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</si>
  <si>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</si>
  <si>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</si>
  <si>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</si>
  <si>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</si>
  <si>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</si>
  <si>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</si>
  <si>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</si>
  <si>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</si>
  <si>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</si>
  <si>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</si>
  <si>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</si>
  <si>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</si>
  <si>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</si>
  <si>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</si>
  <si>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</si>
  <si>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</si>
  <si>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</si>
  <si>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</si>
  <si>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</si>
  <si>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</si>
  <si>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</si>
  <si>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</si>
  <si>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</si>
  <si>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</si>
  <si>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</si>
  <si>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</si>
  <si>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</si>
  <si>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</si>
  <si>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</si>
  <si>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</si>
  <si>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</si>
  <si>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</si>
  <si>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</si>
  <si>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</si>
  <si>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</si>
  <si>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</si>
  <si>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</si>
  <si>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</si>
  <si>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</si>
  <si>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</si>
  <si>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</si>
  <si>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</si>
  <si>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</si>
  <si>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</si>
  <si>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</si>
  <si>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</si>
  <si>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</si>
  <si>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</si>
  <si>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</si>
  <si>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</si>
  <si>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</si>
  <si>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</si>
  <si>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</si>
  <si>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</si>
  <si>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</si>
  <si>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</si>
  <si>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</si>
  <si>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</si>
  <si>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</si>
  <si>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</si>
  <si>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</si>
  <si>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</si>
  <si>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</si>
  <si>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</si>
  <si>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</si>
  <si>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</si>
  <si>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</si>
  <si>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</si>
  <si>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</si>
  <si>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</si>
  <si>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</si>
  <si>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</si>
  <si>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</si>
  <si>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</si>
  <si>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</si>
  <si>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</si>
  <si>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</si>
  <si>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</si>
  <si>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</si>
  <si>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</si>
  <si>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</si>
  <si>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</si>
  <si>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</si>
  <si>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</si>
  <si>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</si>
  <si>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</si>
  <si>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</si>
  <si>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</si>
  <si>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</si>
  <si>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</si>
  <si>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</si>
  <si>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</si>
  <si>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</si>
  <si>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</si>
  <si>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</si>
  <si>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</si>
  <si>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</si>
  <si>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</si>
  <si>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</si>
  <si>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</si>
  <si>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</si>
  <si>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</si>
  <si>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</si>
  <si>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</si>
  <si>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</si>
  <si>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</si>
  <si>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</si>
  <si>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</si>
  <si>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</si>
  <si>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</si>
  <si>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</si>
  <si>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</si>
  <si>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</si>
  <si>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</si>
  <si>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</si>
  <si>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</si>
  <si>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</si>
  <si>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</si>
  <si>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</si>
  <si>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</si>
  <si>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</si>
  <si>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</si>
  <si>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</si>
  <si>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</si>
  <si>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</si>
  <si>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</si>
  <si>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</si>
  <si>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</si>
  <si>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</si>
  <si>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</si>
  <si>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</si>
  <si>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</si>
  <si>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</si>
  <si>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</si>
  <si>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</si>
  <si>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</si>
  <si>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</si>
  <si>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</si>
  <si>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</si>
  <si>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</si>
  <si>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</si>
  <si>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</si>
  <si>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</si>
  <si>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</si>
  <si>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</si>
  <si>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</si>
  <si>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</si>
  <si>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</si>
  <si>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</si>
  <si>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</si>
  <si>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</si>
  <si>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</si>
  <si>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</si>
  <si>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</si>
  <si>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</si>
  <si>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</si>
  <si>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</si>
  <si>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</si>
  <si>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</si>
  <si>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</si>
  <si>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</si>
  <si>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</si>
  <si>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</si>
  <si>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</si>
  <si>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</si>
  <si>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</si>
  <si>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</si>
  <si>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</si>
  <si>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</si>
  <si>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</si>
  <si>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</si>
  <si>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</si>
  <si>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</si>
  <si>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</si>
  <si>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</si>
  <si>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</si>
  <si>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</si>
  <si>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</si>
  <si>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</si>
  <si>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</si>
  <si>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</si>
  <si>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</si>
  <si>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</si>
  <si>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</si>
  <si>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</si>
  <si>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</si>
  <si>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</si>
  <si>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</si>
  <si>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</si>
  <si>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</si>
  <si>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</si>
  <si>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</si>
  <si>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</si>
  <si>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</si>
  <si>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</si>
  <si>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</si>
  <si>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</si>
  <si>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</si>
  <si>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</si>
  <si>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</si>
  <si>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</si>
  <si>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</si>
  <si>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</si>
  <si>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</si>
  <si>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</si>
  <si>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</si>
  <si>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</si>
  <si>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</si>
  <si>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</si>
  <si>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</si>
  <si>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</si>
  <si>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</si>
  <si>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</si>
  <si>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</si>
  <si>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</si>
  <si>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</si>
  <si>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</si>
  <si>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</si>
  <si>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</si>
  <si>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</si>
  <si>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</si>
  <si>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</si>
  <si>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</si>
  <si>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</si>
  <si>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</si>
  <si>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</si>
  <si>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</si>
  <si>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</si>
  <si>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</si>
  <si>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</si>
  <si>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</si>
  <si>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</si>
  <si>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</si>
  <si>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</si>
  <si>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</si>
  <si>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</si>
  <si>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</si>
  <si>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</si>
  <si>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</si>
  <si>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</si>
  <si>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</si>
  <si>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</si>
  <si>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</si>
  <si>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</si>
  <si>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</si>
  <si>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</si>
  <si>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</si>
  <si>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</si>
  <si>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</si>
  <si>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</si>
  <si>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</si>
  <si>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</si>
  <si>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</si>
  <si>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</si>
  <si>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</si>
  <si>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</si>
  <si>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</si>
  <si>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</si>
  <si>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</si>
  <si>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</si>
  <si>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</si>
  <si>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</si>
  <si>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</si>
  <si>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</si>
  <si>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</si>
  <si>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</si>
  <si>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</si>
  <si>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</si>
  <si>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</si>
  <si>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</si>
  <si>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</si>
  <si>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</si>
  <si>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</si>
  <si>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</si>
  <si>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</si>
  <si>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</si>
  <si>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</si>
  <si>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</si>
  <si>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</si>
  <si>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</si>
  <si>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</si>
  <si>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</si>
  <si>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</si>
  <si>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</si>
  <si>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</si>
  <si>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</si>
  <si>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</si>
  <si>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</si>
  <si>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</si>
  <si>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</si>
  <si>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</si>
  <si>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</si>
  <si>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</si>
  <si>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</si>
  <si>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</si>
  <si>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</si>
  <si>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</si>
  <si>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</si>
  <si>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</si>
  <si>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</si>
  <si>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</si>
  <si>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</si>
  <si>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</si>
  <si>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</si>
  <si>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</si>
  <si>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</si>
  <si>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</si>
  <si>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</si>
  <si>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</si>
  <si>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</si>
  <si>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</si>
  <si>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</si>
  <si>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</si>
  <si>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</si>
  <si>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</si>
  <si>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</si>
  <si>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</si>
  <si>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</si>
  <si>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</si>
  <si>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</si>
  <si>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</si>
  <si>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</si>
  <si>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</si>
  <si>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</si>
  <si>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</si>
  <si>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</si>
  <si>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</si>
  <si>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</si>
  <si>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</si>
  <si>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</si>
  <si>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</si>
  <si>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</si>
  <si>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</si>
  <si>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</si>
  <si>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</si>
  <si>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</si>
  <si>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</si>
  <si>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</si>
  <si>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</si>
  <si>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</si>
  <si>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</si>
  <si>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</si>
  <si>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</si>
  <si>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</si>
  <si>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</si>
  <si>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</si>
  <si>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</si>
  <si>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</si>
  <si>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</si>
  <si>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</si>
  <si>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</si>
  <si>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</si>
  <si>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</si>
  <si>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</si>
  <si>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</si>
  <si>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</si>
  <si>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</si>
  <si>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</si>
  <si>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</si>
  <si>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</si>
  <si>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</si>
  <si>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</si>
  <si>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</si>
  <si>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</si>
  <si>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</si>
  <si>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</si>
  <si>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</si>
  <si>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</si>
  <si>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</si>
  <si>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</si>
  <si>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</si>
  <si>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</si>
  <si>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</si>
  <si>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</si>
  <si>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</si>
  <si>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</si>
  <si>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</si>
  <si>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</si>
  <si>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</si>
  <si>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</si>
  <si>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</si>
  <si>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</si>
  <si>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</si>
  <si>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</si>
  <si>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</si>
  <si>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</si>
  <si>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</si>
  <si>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</si>
  <si>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</si>
  <si>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</si>
  <si>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</si>
  <si>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</si>
  <si>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</si>
  <si>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</si>
  <si>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</si>
  <si>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</si>
  <si>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</si>
  <si>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</si>
  <si>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</si>
  <si>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</si>
  <si>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</si>
  <si>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</si>
  <si>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</si>
  <si>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</si>
  <si>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</si>
  <si>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</si>
  <si>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</si>
  <si>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</si>
  <si>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</si>
  <si>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</si>
  <si>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</si>
  <si>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</si>
  <si>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</si>
  <si>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</si>
  <si>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</si>
  <si>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</si>
  <si>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</si>
  <si>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</si>
  <si>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</si>
  <si>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</si>
  <si>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</si>
  <si>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</si>
  <si>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</si>
  <si>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</si>
  <si>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</si>
  <si>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</si>
  <si>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</si>
  <si>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</si>
  <si>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</si>
  <si>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</si>
  <si>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</si>
  <si>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</si>
  <si>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</si>
  <si>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</si>
  <si>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</si>
  <si>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</si>
  <si>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</si>
  <si>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</si>
  <si>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</si>
  <si>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</si>
  <si>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</si>
  <si>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</si>
  <si>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</si>
  <si>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</si>
  <si>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</si>
  <si>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</si>
  <si>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</si>
  <si>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</si>
  <si>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</si>
  <si>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</si>
  <si>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</si>
  <si>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</si>
  <si>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</si>
  <si>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</si>
  <si>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</si>
  <si>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</si>
  <si>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</si>
  <si>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</si>
  <si>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</si>
  <si>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</si>
  <si>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</si>
  <si>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</si>
  <si>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</si>
  <si>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</si>
  <si>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</si>
  <si>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</si>
  <si>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</si>
  <si>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</si>
  <si>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</si>
  <si>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</si>
  <si>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</si>
  <si>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</si>
  <si>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</si>
  <si>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</si>
  <si>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</si>
  <si>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</si>
  <si>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</si>
  <si>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</si>
  <si>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</si>
  <si>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</si>
  <si>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</si>
  <si>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</si>
  <si>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</si>
  <si>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</si>
  <si>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</si>
  <si>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</si>
  <si>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</si>
  <si>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</si>
  <si>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</si>
  <si>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</si>
  <si>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</si>
  <si>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</si>
  <si>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</si>
  <si>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</si>
  <si>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</si>
  <si>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</si>
  <si>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</si>
  <si>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</si>
  <si>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</si>
  <si>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</si>
  <si>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</si>
  <si>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</si>
  <si>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</si>
  <si>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</si>
  <si>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</si>
  <si>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</si>
  <si>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</si>
  <si>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</si>
  <si>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</si>
  <si>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</si>
  <si>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</si>
  <si>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</si>
  <si>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</si>
  <si>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</si>
  <si>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</si>
  <si>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</si>
  <si>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</si>
  <si>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</si>
  <si>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</si>
  <si>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</si>
  <si>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</si>
  <si>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</si>
  <si>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</si>
  <si>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</si>
  <si>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</si>
  <si>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</si>
  <si>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</si>
  <si>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</si>
  <si>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</si>
  <si>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</si>
  <si>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</si>
  <si>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</si>
  <si>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</si>
  <si>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</si>
  <si>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</si>
  <si>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</si>
  <si>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</si>
  <si>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</si>
  <si>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</si>
  <si>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</si>
  <si>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</si>
  <si>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</si>
  <si>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</si>
  <si>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</si>
  <si>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</si>
  <si>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</si>
  <si>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</si>
  <si>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</si>
  <si>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</si>
  <si>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</si>
  <si>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</si>
  <si>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</si>
  <si>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</si>
  <si>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</si>
  <si>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</si>
  <si>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</si>
  <si>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</si>
  <si>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</si>
  <si>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</si>
  <si>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</si>
  <si>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</si>
  <si>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</si>
  <si>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</si>
  <si>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</si>
  <si>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</si>
  <si>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</si>
  <si>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</si>
  <si>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</si>
  <si>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</si>
  <si>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</si>
  <si>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</si>
  <si>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</si>
  <si>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</si>
  <si>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</si>
  <si>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</si>
  <si>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</si>
  <si>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</si>
  <si>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</si>
  <si>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</si>
  <si>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</si>
  <si>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</si>
  <si>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</si>
  <si>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</si>
  <si>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</si>
  <si>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</si>
  <si>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</si>
  <si>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</si>
  <si>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</si>
  <si>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</si>
  <si>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</si>
  <si>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</si>
  <si>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</si>
  <si>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</si>
  <si>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</si>
  <si>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</si>
  <si>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</si>
  <si>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</si>
  <si>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</si>
  <si>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</si>
  <si>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</si>
  <si>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</si>
  <si>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</si>
  <si>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</si>
  <si>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</si>
  <si>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</si>
  <si>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</si>
  <si>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</si>
  <si>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</si>
  <si>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</si>
  <si>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</si>
  <si>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</si>
  <si>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</si>
  <si>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</si>
  <si>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</si>
  <si>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</si>
  <si>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</si>
  <si>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</si>
  <si>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</si>
  <si>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</si>
  <si>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</si>
  <si>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</si>
  <si>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</si>
  <si>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</si>
  <si>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</si>
  <si>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</si>
  <si>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</si>
  <si>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</si>
  <si>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</si>
  <si>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</si>
  <si>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</si>
  <si>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</si>
  <si>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</si>
  <si>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</si>
  <si>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</si>
  <si>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</si>
  <si>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</si>
  <si>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</si>
  <si>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</si>
  <si>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</si>
  <si>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</si>
  <si>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</si>
  <si>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</si>
  <si>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</si>
  <si>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</si>
  <si>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</si>
  <si>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</si>
  <si>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</si>
  <si>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</si>
  <si>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</si>
  <si>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</si>
  <si>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</si>
  <si>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</si>
  <si>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</si>
  <si>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</si>
  <si>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</si>
  <si>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</si>
  <si>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</si>
  <si>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</si>
  <si>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</si>
  <si>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</si>
  <si>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</si>
  <si>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</si>
  <si>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</si>
  <si>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</si>
  <si>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</si>
  <si>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</si>
  <si>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</si>
  <si>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</si>
  <si>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</si>
  <si>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</si>
  <si>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</si>
  <si>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</si>
  <si>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</si>
  <si>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</si>
  <si>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</si>
  <si>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</si>
  <si>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</si>
  <si>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</si>
  <si>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</si>
  <si>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</si>
  <si>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</si>
  <si>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</si>
  <si>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</si>
  <si>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</si>
  <si>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</si>
  <si>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</si>
  <si>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</si>
  <si>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</si>
  <si>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</si>
  <si>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</si>
  <si>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</si>
  <si>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</si>
  <si>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</si>
  <si>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</si>
  <si>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</si>
  <si>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</si>
  <si>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</si>
  <si>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</si>
  <si>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</si>
  <si>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</si>
  <si>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</si>
  <si>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</si>
  <si>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</si>
  <si>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</si>
  <si>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</si>
  <si>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</si>
  <si>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</si>
  <si>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</si>
  <si>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</si>
  <si>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</si>
  <si>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</si>
  <si>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</si>
  <si>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</si>
  <si>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</si>
  <si>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</si>
  <si>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</si>
  <si>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</si>
  <si>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</si>
  <si>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</si>
  <si>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</si>
  <si>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</si>
  <si>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</si>
  <si>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</si>
  <si>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</si>
  <si>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</si>
  <si>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</si>
  <si>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</si>
  <si>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</si>
  <si>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</si>
  <si>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</si>
  <si>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</si>
  <si>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</si>
  <si>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</si>
  <si>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</si>
  <si>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</si>
  <si>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</si>
  <si>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</si>
  <si>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</si>
  <si>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</si>
  <si>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</si>
  <si>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</si>
  <si>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</si>
  <si>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</si>
  <si>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</si>
  <si>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</si>
  <si>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</si>
  <si>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</si>
  <si>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</si>
  <si>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</si>
  <si>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</si>
  <si>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</si>
  <si>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</si>
  <si>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</si>
  <si>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</si>
  <si>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</si>
  <si>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</si>
  <si>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</si>
  <si>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</si>
  <si>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</si>
  <si>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</si>
  <si>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</si>
  <si>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</si>
  <si>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</si>
  <si>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</si>
  <si>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</si>
  <si>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</si>
  <si>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</si>
  <si>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</si>
  <si>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</si>
  <si>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</si>
  <si>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</si>
  <si>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</si>
  <si>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</si>
  <si>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</si>
  <si>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</si>
  <si>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</si>
  <si>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</si>
  <si>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</si>
  <si>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</si>
  <si>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</si>
  <si>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</si>
  <si>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</si>
  <si>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</si>
  <si>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</si>
  <si>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</si>
  <si>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</si>
  <si>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</si>
  <si>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</si>
  <si>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</si>
  <si>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</si>
  <si>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</si>
  <si>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</si>
  <si>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</si>
  <si>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</si>
  <si>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</si>
  <si>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</si>
  <si>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</si>
  <si>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</si>
  <si>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</si>
  <si>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</si>
  <si>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</si>
  <si>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</si>
  <si>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</si>
  <si>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</si>
  <si>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</si>
  <si>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</si>
  <si>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</si>
  <si>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</si>
  <si>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</si>
  <si>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</si>
  <si>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</si>
  <si>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</si>
  <si>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</si>
  <si>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</si>
  <si>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</si>
  <si>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</si>
  <si>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</si>
  <si>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</si>
  <si>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</si>
  <si>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</si>
  <si>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</si>
  <si>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</si>
  <si>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</si>
  <si>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</si>
  <si>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</si>
  <si>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</si>
  <si>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</si>
  <si>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</si>
  <si>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</si>
  <si>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</si>
  <si>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</si>
  <si>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</si>
  <si>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</si>
  <si>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</si>
  <si>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</si>
  <si>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</si>
  <si>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</si>
  <si>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</si>
  <si>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</si>
  <si>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</si>
  <si>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</si>
  <si>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</si>
  <si>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</si>
  <si>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</si>
  <si>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</si>
  <si>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</si>
  <si>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</si>
  <si>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</si>
  <si>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</si>
  <si>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</si>
  <si>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</si>
  <si>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</si>
  <si>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</si>
  <si>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</si>
  <si>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</si>
  <si>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</si>
  <si>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</si>
  <si>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</si>
  <si>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</si>
  <si>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</si>
  <si>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</si>
  <si>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</si>
  <si>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</si>
  <si>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</si>
  <si>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</si>
  <si>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</si>
  <si>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</si>
  <si>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</si>
  <si>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</si>
  <si>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</si>
  <si>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</si>
  <si>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</si>
  <si>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</si>
  <si>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</si>
  <si>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</si>
  <si>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</si>
  <si>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</si>
  <si>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</si>
  <si>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</si>
  <si>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</si>
  <si>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</si>
  <si>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</si>
  <si>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</si>
  <si>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</si>
  <si>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</si>
  <si>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</si>
  <si>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</si>
  <si>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</si>
  <si>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</si>
  <si>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</si>
  <si>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</si>
  <si>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</si>
  <si>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</si>
  <si>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</si>
  <si>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</si>
  <si>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</si>
  <si>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</si>
  <si>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</si>
  <si>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</si>
  <si>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</si>
  <si>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</si>
  <si>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</si>
  <si>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</si>
  <si>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</si>
  <si>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</si>
  <si>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</si>
  <si>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</si>
  <si>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</si>
  <si>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</si>
  <si>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</si>
  <si>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</si>
  <si>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</si>
  <si>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</si>
  <si>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</si>
  <si>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</si>
  <si>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</si>
  <si>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</si>
  <si>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</si>
  <si>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</si>
  <si>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</si>
  <si>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</si>
  <si>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</si>
  <si>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</si>
  <si>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</si>
  <si>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</si>
  <si>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</si>
  <si>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</si>
  <si>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</si>
  <si>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</si>
  <si>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</si>
  <si>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</si>
  <si>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</si>
  <si>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</si>
  <si>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</si>
  <si>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</si>
  <si>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</si>
  <si>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</si>
  <si>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</si>
  <si>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</si>
  <si>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</si>
  <si>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</si>
  <si>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</si>
  <si>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</si>
  <si>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</si>
  <si>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</si>
  <si>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</si>
  <si>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</si>
  <si>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</si>
  <si>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</si>
  <si>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</si>
  <si>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</si>
  <si>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</si>
  <si>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</si>
  <si>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</si>
  <si>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</si>
  <si>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</si>
  <si>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</si>
  <si>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</si>
  <si>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</si>
  <si>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</si>
  <si>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</si>
  <si>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</si>
  <si>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</si>
  <si>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</si>
  <si>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</si>
  <si>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</si>
  <si>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</si>
  <si>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</si>
  <si>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</si>
  <si>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</si>
  <si>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</si>
  <si>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</si>
  <si>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</si>
  <si>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</si>
  <si>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</si>
  <si>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</si>
  <si>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</si>
  <si>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</si>
  <si>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</si>
  <si>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</si>
  <si>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</si>
  <si>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</si>
  <si>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</si>
  <si>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</si>
  <si>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</si>
  <si>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</si>
  <si>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</si>
  <si>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</si>
  <si>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</si>
  <si>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</si>
  <si>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</si>
  <si>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</si>
  <si>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</si>
  <si>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</si>
  <si>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</si>
  <si>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</si>
  <si>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</si>
  <si>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</si>
  <si>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</si>
  <si>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</si>
  <si>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</si>
  <si>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</si>
  <si>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</si>
  <si>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</si>
  <si>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</si>
  <si>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</si>
  <si>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</si>
  <si>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</si>
  <si>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</si>
  <si>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</si>
  <si>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</si>
  <si>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</si>
  <si>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</si>
  <si>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</si>
  <si>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</si>
  <si>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</si>
  <si>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</si>
  <si>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</si>
  <si>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</si>
  <si>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</si>
  <si>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</si>
  <si>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</si>
  <si>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</si>
  <si>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</si>
  <si>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</si>
  <si>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</si>
  <si>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</si>
  <si>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</si>
  <si>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</si>
  <si>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</si>
  <si>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</si>
  <si>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</si>
  <si>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</si>
  <si>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</si>
  <si>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</si>
  <si>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</si>
  <si>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</si>
  <si>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</si>
  <si>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</si>
  <si>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</si>
  <si>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</si>
  <si>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</si>
  <si>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</si>
  <si>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</si>
  <si>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</si>
  <si>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</si>
  <si>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</si>
  <si>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</si>
  <si>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</si>
  <si>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</si>
  <si>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</si>
  <si>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</si>
  <si>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</si>
  <si>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</si>
  <si>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</si>
  <si>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</si>
  <si>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</si>
  <si>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</si>
  <si>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</si>
  <si>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</si>
  <si>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</si>
  <si>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</si>
  <si>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</si>
  <si>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</si>
  <si>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</si>
  <si>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</si>
  <si>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</si>
  <si>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</si>
  <si>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</si>
  <si>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</si>
  <si>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Sec_1</t>
  </si>
  <si>
    <t>Pyconotidae</t>
  </si>
  <si>
    <t>Yellow-eyed bristlebill</t>
  </si>
  <si>
    <t>Bleda ugandae</t>
  </si>
  <si>
    <t>Smithsonian NMNH</t>
  </si>
  <si>
    <t>Listed as Bleda eximius ugandae</t>
  </si>
  <si>
    <t>USNM 33124</t>
  </si>
  <si>
    <t>Uganda</t>
  </si>
  <si>
    <t>17 Dec 1938</t>
  </si>
  <si>
    <t>Reunion bulbul</t>
  </si>
  <si>
    <t>USNM 486967</t>
  </si>
  <si>
    <t>16 Nov 1964</t>
  </si>
  <si>
    <t>France (Réunion)</t>
  </si>
  <si>
    <t>Réunion, 6 km south of Ste. Marie</t>
  </si>
  <si>
    <t>borbonicus</t>
  </si>
  <si>
    <t>Maritius</t>
  </si>
  <si>
    <t>U</t>
  </si>
  <si>
    <t>Listed as Hypsipetes borbonicus olivaceus</t>
  </si>
  <si>
    <t>USNM 132510</t>
  </si>
  <si>
    <t>USNM 132511</t>
  </si>
  <si>
    <t>Banggai golden bulbul</t>
  </si>
  <si>
    <t>Hypsipetes harterti</t>
  </si>
  <si>
    <t>Listed as Thapsinillas affinis harterti</t>
  </si>
  <si>
    <t>USNM 264219</t>
  </si>
  <si>
    <t>5 Aug 1895</t>
  </si>
  <si>
    <t>Peling Island</t>
  </si>
  <si>
    <t>Indonesia</t>
  </si>
  <si>
    <t>USNM 201379</t>
  </si>
  <si>
    <t>USNM 234106</t>
  </si>
  <si>
    <t>10 Dec 1909</t>
  </si>
  <si>
    <t>12 Feb 1901</t>
  </si>
  <si>
    <t>Buru, W, Fogi</t>
  </si>
  <si>
    <t>Listed as Thapsinillas affinis mysticalis</t>
  </si>
  <si>
    <t>Buru golden bulbul</t>
  </si>
  <si>
    <t>"Bouro" Island</t>
  </si>
  <si>
    <t>USNM 201380</t>
  </si>
  <si>
    <t>Listed as Thapsinillas affinis flavicaudus</t>
  </si>
  <si>
    <t>Hypsipetes guimarasensis</t>
  </si>
  <si>
    <t>USNM 582016</t>
  </si>
  <si>
    <t>Listed as Ixos philippinus guimarasensis</t>
  </si>
  <si>
    <t>USNM 211040</t>
  </si>
  <si>
    <t>Visayan bulbul</t>
  </si>
  <si>
    <t>Ambon golden bulbul</t>
  </si>
  <si>
    <t>18 Feb 1906</t>
  </si>
  <si>
    <t>Amboina island</t>
  </si>
  <si>
    <t>27 Dec 1966</t>
  </si>
  <si>
    <t>Nagoro, Siaton</t>
  </si>
  <si>
    <t>Philippines</t>
  </si>
  <si>
    <t>24 Jun 1902</t>
  </si>
  <si>
    <t>Nov 1866</t>
  </si>
  <si>
    <t>Nov 1867</t>
  </si>
  <si>
    <t>17 Apr 1908</t>
  </si>
  <si>
    <t>USNM 211468</t>
  </si>
  <si>
    <t>USNM 211044</t>
  </si>
  <si>
    <t>28 Apr 1902</t>
  </si>
  <si>
    <t>USNM 211043</t>
  </si>
  <si>
    <t>23 Apr 1902</t>
  </si>
  <si>
    <t>USNM 211042</t>
  </si>
  <si>
    <t>USNM 211041</t>
  </si>
  <si>
    <t>USNM 315441</t>
  </si>
  <si>
    <t>USNM 315440</t>
  </si>
  <si>
    <t>USNM 315439</t>
  </si>
  <si>
    <t>USNM 233570</t>
  </si>
  <si>
    <t>USNM 233569</t>
  </si>
  <si>
    <t>USNM 233208</t>
  </si>
  <si>
    <t>USNM 233207</t>
  </si>
  <si>
    <t>USNM 233206</t>
  </si>
  <si>
    <t>Hypsipetes mindorensis</t>
  </si>
  <si>
    <t>USNM 202078</t>
  </si>
  <si>
    <t>USNM 202079</t>
  </si>
  <si>
    <t>Mindoro bulbul</t>
  </si>
  <si>
    <t>USNM 202080</t>
  </si>
  <si>
    <t>USNM 202081</t>
  </si>
  <si>
    <t>USNM 202084</t>
  </si>
  <si>
    <t>USNM 202085</t>
  </si>
  <si>
    <t>USNM 202086</t>
  </si>
  <si>
    <t>USNM 202089</t>
  </si>
  <si>
    <t>Listed as Ixos philippinus mindorensis</t>
  </si>
  <si>
    <t>Dumurug Point</t>
  </si>
  <si>
    <t>Ticao Island</t>
  </si>
  <si>
    <t>Masbate province</t>
  </si>
  <si>
    <t>Palanoc</t>
  </si>
  <si>
    <t>18 Nov 1892</t>
  </si>
  <si>
    <t>4 Nov 1892</t>
  </si>
  <si>
    <t>7 Nov 1892</t>
  </si>
  <si>
    <t>1 Nov 1892</t>
  </si>
  <si>
    <t>20 Nov 1892</t>
  </si>
  <si>
    <t>Alag River, at junction of Egbert River</t>
  </si>
  <si>
    <t>Alag River, left side, Mangyan clearing</t>
  </si>
  <si>
    <t>Mount Halcon, spur of main ridge</t>
  </si>
  <si>
    <t>USNM 189989</t>
  </si>
  <si>
    <t>USNM 192642</t>
  </si>
  <si>
    <t>USNM 192644</t>
  </si>
  <si>
    <t>USNM 202074</t>
  </si>
  <si>
    <t>USNM 202075</t>
  </si>
  <si>
    <t>USNM 202077</t>
  </si>
  <si>
    <t>Streak-breasted bulbul</t>
  </si>
  <si>
    <t>USNM 233205</t>
  </si>
  <si>
    <t>USNM 233204</t>
  </si>
  <si>
    <t>USNM 233203</t>
  </si>
  <si>
    <t>USNM 233202</t>
  </si>
  <si>
    <t>USNM 233201</t>
  </si>
  <si>
    <t>USNM 211463</t>
  </si>
  <si>
    <t>USNM 233568</t>
  </si>
  <si>
    <t>USNM 315431</t>
  </si>
  <si>
    <t>USNM 211055</t>
  </si>
  <si>
    <t>USNM 211054</t>
  </si>
  <si>
    <t>USNM 211053</t>
  </si>
  <si>
    <t>USNM 211052</t>
  </si>
  <si>
    <t>USNM 192641</t>
  </si>
  <si>
    <t>Listed as Ixos siquijorensis cinereiceps</t>
  </si>
  <si>
    <t>White-headed bulbul</t>
  </si>
  <si>
    <t>Hypsipetes thompsoni</t>
  </si>
  <si>
    <t>USNM 336675</t>
  </si>
  <si>
    <t>7 Nov 1936</t>
  </si>
  <si>
    <t>USNM 335745</t>
  </si>
  <si>
    <t>8 Sep 1935</t>
  </si>
  <si>
    <t>USNM 334529</t>
  </si>
  <si>
    <t>Aug 22 1934</t>
  </si>
  <si>
    <t>USNM 534768</t>
  </si>
  <si>
    <t>8 Nov 1965</t>
  </si>
  <si>
    <t>Toro Olive-greenbul</t>
  </si>
  <si>
    <t>USNM 520485</t>
  </si>
  <si>
    <t>7 Jun 1965</t>
  </si>
  <si>
    <t>USNM 520451</t>
  </si>
  <si>
    <t>1 Dec 1965</t>
  </si>
  <si>
    <t>USNM 520450</t>
  </si>
  <si>
    <t>3 Dec 1965</t>
  </si>
  <si>
    <t>USNM 520449</t>
  </si>
  <si>
    <t>4 Dec 1965</t>
  </si>
  <si>
    <t>USNM 520448</t>
  </si>
  <si>
    <t>13 Mar 1965</t>
  </si>
  <si>
    <t>USNM 520447</t>
  </si>
  <si>
    <t>16 Mar 1965</t>
  </si>
  <si>
    <t>USNM 520446</t>
  </si>
  <si>
    <t>25 Mar 1965</t>
  </si>
  <si>
    <t>USNM 520445</t>
  </si>
  <si>
    <t>USNM 520444</t>
  </si>
  <si>
    <t>Angola greenbul</t>
  </si>
  <si>
    <t>USNM 583331</t>
  </si>
  <si>
    <t>USNM 583332</t>
  </si>
  <si>
    <t>USNM 583333</t>
  </si>
  <si>
    <t>USNM 583335</t>
  </si>
  <si>
    <t>USNM 583336</t>
  </si>
  <si>
    <t xml:space="preserve">Pale-faced Bulbul </t>
  </si>
  <si>
    <t>USNM 264257</t>
  </si>
  <si>
    <t>USNM 451870</t>
  </si>
  <si>
    <t xml:space="preserve">Styan’s Bulbul </t>
  </si>
  <si>
    <t>29 Mar 1960</t>
  </si>
  <si>
    <t>USNM 473211</t>
  </si>
  <si>
    <t>USNM 472384</t>
  </si>
  <si>
    <t>19 Sep 1958</t>
  </si>
  <si>
    <t>USNM 483715</t>
  </si>
  <si>
    <t>18 Oct 1958</t>
  </si>
  <si>
    <t>USNM 472383</t>
  </si>
  <si>
    <t>USNM 483716</t>
  </si>
  <si>
    <t>20 Sep 1958</t>
  </si>
  <si>
    <t>USNM 472385</t>
  </si>
  <si>
    <t>USNM 234124</t>
  </si>
  <si>
    <t>26 Jan 1910</t>
  </si>
  <si>
    <t>USNM 234125</t>
  </si>
  <si>
    <t>25 Jan 1910</t>
  </si>
  <si>
    <t>2 Jun 1904</t>
  </si>
  <si>
    <t>15 Aug 1905</t>
  </si>
  <si>
    <t>3 Dec 1906</t>
  </si>
  <si>
    <t>4 Nov 1906</t>
  </si>
  <si>
    <t>2 Nov 1906</t>
  </si>
  <si>
    <t>24 Nov 1902</t>
  </si>
  <si>
    <t>23 Nov  1902</t>
  </si>
  <si>
    <t>16 Nov 1906</t>
  </si>
  <si>
    <t>11 Nov 1906</t>
  </si>
  <si>
    <t>10 Nov 1906</t>
  </si>
  <si>
    <t>Kibiran</t>
  </si>
  <si>
    <t>Puerto Galera</t>
  </si>
  <si>
    <t>27 Nov 1902</t>
  </si>
  <si>
    <t>Between Subaan and Camp Bergen</t>
  </si>
  <si>
    <t>Camp Bergen</t>
  </si>
  <si>
    <t>8 Sep 1892</t>
  </si>
  <si>
    <t>Romblon Island</t>
  </si>
  <si>
    <t>10 Sep 1892</t>
  </si>
  <si>
    <t>14 Sep 1892</t>
  </si>
  <si>
    <t>7 Sep 1892</t>
  </si>
  <si>
    <t>25 Mar 1908</t>
  </si>
  <si>
    <t>USNM 233567</t>
  </si>
  <si>
    <t>Sep 1892</t>
  </si>
  <si>
    <t>23 Sep 1892</t>
  </si>
  <si>
    <t>Tablas Island</t>
  </si>
  <si>
    <t>4 Sep 1905</t>
  </si>
  <si>
    <t>31 Aug 1905</t>
  </si>
  <si>
    <t>2 Sep 1905</t>
  </si>
  <si>
    <t>Listed as Cerasophila thompsoni</t>
  </si>
  <si>
    <t>Doi Suthep</t>
  </si>
  <si>
    <t>Thailand</t>
  </si>
  <si>
    <t>Dok Angka</t>
  </si>
  <si>
    <t>Doi Hua Mot</t>
  </si>
  <si>
    <t>Doi Pha Hom Pok</t>
  </si>
  <si>
    <t>Kenya</t>
  </si>
  <si>
    <t>Kakamega Forest Station</t>
  </si>
  <si>
    <t>17 Sep 1957</t>
  </si>
  <si>
    <t>Roca Cansele</t>
  </si>
  <si>
    <t>Angola</t>
  </si>
  <si>
    <t>15 Sep 1957</t>
  </si>
  <si>
    <t>24 Oct 1957</t>
  </si>
  <si>
    <t>31 Oct 1957</t>
  </si>
  <si>
    <t>Mount Kinabalu</t>
  </si>
  <si>
    <t>Malaysia</t>
  </si>
  <si>
    <t>Trus Madi Mountain</t>
  </si>
  <si>
    <t>3 Aug 1953</t>
  </si>
  <si>
    <t>Hua-Lien</t>
  </si>
  <si>
    <t>Taiwan</t>
  </si>
  <si>
    <t>Nan Wan Bay</t>
  </si>
  <si>
    <t>KW</t>
  </si>
  <si>
    <t>Hypsipetes mysticalis</t>
  </si>
  <si>
    <t>flavicaudus</t>
  </si>
  <si>
    <t>Hypsipetes affinis</t>
  </si>
  <si>
    <t>Hypsipetes siquijorensis</t>
  </si>
  <si>
    <t>Phyllastrephus viridiceps</t>
  </si>
  <si>
    <t>Pycnonotus leucops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</si>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</sst>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6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5"/>
  <sheetViews>
    <sheetView tabSelected="1" topLeftCell="E1" workbookViewId="0">
      <pane ySplit="1" topLeftCell="A58" activePane="bottomLeft" state="frozen"/>
      <selection pane="bottomLeft" activeCell="N9" sqref="N9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3.1640625" style="10" bestFit="1" customWidth="1"/>
    <col min="18" max="18" width="13.1640625" style="10" customWidth="1"/>
    <col min="19" max="19" width="15.83203125" style="10" bestFit="1" customWidth="1"/>
    <col min="20" max="20" width="12.5" style="10" bestFit="1" customWidth="1"/>
    <col min="21" max="21" width="8.83203125" style="8"/>
    <col min="22" max="22" width="11" style="8" customWidth="1"/>
    <col min="23" max="23" width="11.16406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9695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B2" t="s">
        <v>9696</v>
      </c>
      <c r="C2" t="s">
        <v>9697</v>
      </c>
      <c r="D2" t="s">
        <v>9698</v>
      </c>
      <c r="E2" t="s">
        <v>9699</v>
      </c>
      <c r="F2" t="s">
        <v>9701</v>
      </c>
      <c r="G2" s="13" t="s">
        <v>9703</v>
      </c>
      <c r="H2" t="s">
        <v>9867</v>
      </c>
      <c r="I2" t="s">
        <v>9702</v>
      </c>
      <c r="J2" t="s">
        <v>9694</v>
      </c>
      <c r="K2" s="10">
        <v>20.079999999999998</v>
      </c>
      <c r="L2" s="10">
        <v>13.75</v>
      </c>
      <c r="M2" s="10">
        <v>3.55</v>
      </c>
      <c r="N2" s="10">
        <v>7.27</v>
      </c>
      <c r="O2" s="10">
        <v>10.74</v>
      </c>
      <c r="P2" s="10">
        <v>25.3</v>
      </c>
      <c r="Q2" s="10">
        <v>108</v>
      </c>
      <c r="R2" s="10">
        <v>87.49</v>
      </c>
      <c r="S2" s="10">
        <f>Q2-R2</f>
        <v>20.510000000000005</v>
      </c>
      <c r="T2" s="15">
        <v>94</v>
      </c>
      <c r="V2" t="s">
        <v>9700</v>
      </c>
      <c r="W2" s="14" t="s">
        <v>9906</v>
      </c>
    </row>
    <row r="3" spans="1:24" x14ac:dyDescent="0.2">
      <c r="B3" t="s">
        <v>9696</v>
      </c>
      <c r="C3" t="s">
        <v>9704</v>
      </c>
      <c r="D3" t="s">
        <v>4072</v>
      </c>
      <c r="E3" t="s">
        <v>9699</v>
      </c>
      <c r="F3" t="s">
        <v>9705</v>
      </c>
      <c r="G3" s="13" t="s">
        <v>9706</v>
      </c>
      <c r="H3" t="s">
        <v>9708</v>
      </c>
      <c r="I3" t="s">
        <v>9707</v>
      </c>
      <c r="J3" t="s">
        <v>9693</v>
      </c>
      <c r="K3" s="10">
        <v>21.36</v>
      </c>
      <c r="L3" s="10">
        <v>11.3</v>
      </c>
      <c r="M3" s="10">
        <v>4.54</v>
      </c>
      <c r="N3" s="10">
        <v>5.67</v>
      </c>
      <c r="O3" s="10">
        <v>9.91</v>
      </c>
      <c r="P3" s="10">
        <v>24.22</v>
      </c>
      <c r="Q3" s="10">
        <v>111</v>
      </c>
      <c r="R3" s="10">
        <f t="shared" ref="R3:R80" si="0">Q3-S3</f>
        <v>86</v>
      </c>
      <c r="S3" s="10">
        <v>25</v>
      </c>
      <c r="T3" s="15">
        <v>96</v>
      </c>
      <c r="U3" t="s">
        <v>9709</v>
      </c>
      <c r="W3" s="14" t="s">
        <v>9906</v>
      </c>
    </row>
    <row r="4" spans="1:24" x14ac:dyDescent="0.2">
      <c r="B4" t="s">
        <v>9696</v>
      </c>
      <c r="C4" t="s">
        <v>4073</v>
      </c>
      <c r="D4" t="s">
        <v>4074</v>
      </c>
      <c r="E4" t="s">
        <v>9699</v>
      </c>
      <c r="F4" t="s">
        <v>9713</v>
      </c>
      <c r="G4" s="13" t="s">
        <v>9744</v>
      </c>
      <c r="H4" t="s">
        <v>9710</v>
      </c>
      <c r="I4" t="s">
        <v>9710</v>
      </c>
      <c r="J4" t="s">
        <v>9711</v>
      </c>
      <c r="K4" s="10">
        <v>28.42</v>
      </c>
      <c r="L4" s="10">
        <v>17.11</v>
      </c>
      <c r="M4" s="10">
        <v>5.33</v>
      </c>
      <c r="N4" s="10">
        <v>7.36</v>
      </c>
      <c r="O4" s="10">
        <v>12.41</v>
      </c>
      <c r="P4" s="10">
        <v>24.68</v>
      </c>
      <c r="Q4" s="10">
        <v>123</v>
      </c>
      <c r="R4" s="10">
        <f t="shared" si="0"/>
        <v>97</v>
      </c>
      <c r="S4" s="10">
        <v>26</v>
      </c>
      <c r="T4" s="15">
        <v>95</v>
      </c>
      <c r="V4" t="s">
        <v>9712</v>
      </c>
      <c r="W4" s="14" t="s">
        <v>9906</v>
      </c>
    </row>
    <row r="5" spans="1:24" x14ac:dyDescent="0.2">
      <c r="B5" t="s">
        <v>9696</v>
      </c>
      <c r="C5" t="s">
        <v>4073</v>
      </c>
      <c r="D5" t="s">
        <v>4074</v>
      </c>
      <c r="E5" t="s">
        <v>9699</v>
      </c>
      <c r="F5" t="s">
        <v>9714</v>
      </c>
      <c r="G5" s="13" t="s">
        <v>9745</v>
      </c>
      <c r="H5" t="s">
        <v>9710</v>
      </c>
      <c r="I5" t="s">
        <v>9710</v>
      </c>
      <c r="J5" t="s">
        <v>9711</v>
      </c>
      <c r="K5" s="10">
        <v>26.49</v>
      </c>
      <c r="L5" s="10">
        <v>15.79</v>
      </c>
      <c r="M5" s="10">
        <v>5.84</v>
      </c>
      <c r="N5" s="10">
        <v>7.69</v>
      </c>
      <c r="O5" s="10">
        <v>13.79</v>
      </c>
      <c r="P5" s="10">
        <v>24.31</v>
      </c>
      <c r="Q5" s="10">
        <v>123</v>
      </c>
      <c r="R5" s="10">
        <f t="shared" si="0"/>
        <v>95</v>
      </c>
      <c r="S5" s="10">
        <v>28</v>
      </c>
      <c r="T5" s="15">
        <v>100</v>
      </c>
      <c r="V5" t="s">
        <v>9712</v>
      </c>
      <c r="W5" s="14" t="s">
        <v>9906</v>
      </c>
    </row>
    <row r="6" spans="1:24" x14ac:dyDescent="0.2">
      <c r="B6" t="s">
        <v>9696</v>
      </c>
      <c r="C6" t="s">
        <v>9715</v>
      </c>
      <c r="D6" t="s">
        <v>9716</v>
      </c>
      <c r="E6" t="s">
        <v>9699</v>
      </c>
      <c r="F6" t="s">
        <v>9718</v>
      </c>
      <c r="G6" s="13" t="s">
        <v>9719</v>
      </c>
      <c r="H6" t="s">
        <v>9720</v>
      </c>
      <c r="I6" t="s">
        <v>9721</v>
      </c>
      <c r="J6" t="s">
        <v>9711</v>
      </c>
      <c r="K6" s="10">
        <v>26.44</v>
      </c>
      <c r="L6" s="10">
        <v>14.91</v>
      </c>
      <c r="M6" s="10">
        <v>5.27</v>
      </c>
      <c r="N6" s="10">
        <v>6.74</v>
      </c>
      <c r="O6" s="10">
        <v>13.22</v>
      </c>
      <c r="P6" s="10">
        <v>21.11</v>
      </c>
      <c r="Q6" s="10">
        <v>119</v>
      </c>
      <c r="R6" s="10">
        <f t="shared" si="0"/>
        <v>94</v>
      </c>
      <c r="S6" s="10">
        <v>25</v>
      </c>
      <c r="T6" s="15">
        <v>116</v>
      </c>
      <c r="V6" t="s">
        <v>9717</v>
      </c>
      <c r="W6" s="14" t="s">
        <v>9906</v>
      </c>
    </row>
    <row r="7" spans="1:24" x14ac:dyDescent="0.2">
      <c r="B7" t="s">
        <v>9696</v>
      </c>
      <c r="C7" t="s">
        <v>9728</v>
      </c>
      <c r="D7" t="s">
        <v>9907</v>
      </c>
      <c r="E7" t="s">
        <v>9699</v>
      </c>
      <c r="F7" t="s">
        <v>9722</v>
      </c>
      <c r="G7" s="13" t="s">
        <v>9725</v>
      </c>
      <c r="H7" t="s">
        <v>9726</v>
      </c>
      <c r="I7" t="s">
        <v>9721</v>
      </c>
      <c r="J7" t="s">
        <v>9693</v>
      </c>
      <c r="K7" s="10">
        <v>25.53</v>
      </c>
      <c r="L7" s="10">
        <v>15.79</v>
      </c>
      <c r="M7" s="10">
        <v>5.82</v>
      </c>
      <c r="N7" s="10">
        <v>6.46</v>
      </c>
      <c r="O7" s="10">
        <v>11.47</v>
      </c>
      <c r="P7" s="10">
        <v>18.47</v>
      </c>
      <c r="Q7" s="10">
        <v>104</v>
      </c>
      <c r="R7" s="10">
        <f t="shared" si="0"/>
        <v>85</v>
      </c>
      <c r="S7" s="10">
        <v>19</v>
      </c>
      <c r="T7" s="10">
        <v>83</v>
      </c>
      <c r="V7" t="s">
        <v>9727</v>
      </c>
      <c r="W7" s="14" t="s">
        <v>9906</v>
      </c>
    </row>
    <row r="8" spans="1:24" x14ac:dyDescent="0.2">
      <c r="B8" t="s">
        <v>9696</v>
      </c>
      <c r="C8" t="s">
        <v>9728</v>
      </c>
      <c r="D8" t="s">
        <v>9907</v>
      </c>
      <c r="E8" t="s">
        <v>9699</v>
      </c>
      <c r="F8" t="s">
        <v>9723</v>
      </c>
      <c r="G8" s="13" t="s">
        <v>9724</v>
      </c>
      <c r="H8" t="s">
        <v>9729</v>
      </c>
      <c r="I8" t="s">
        <v>9721</v>
      </c>
      <c r="J8" t="s">
        <v>9694</v>
      </c>
      <c r="K8" s="10">
        <v>26.61</v>
      </c>
      <c r="L8" s="10">
        <v>16.41</v>
      </c>
      <c r="M8" s="10">
        <v>5.37</v>
      </c>
      <c r="N8" s="15" t="s">
        <v>9913</v>
      </c>
      <c r="O8" s="10">
        <v>10.23</v>
      </c>
      <c r="P8" s="10">
        <v>20.28</v>
      </c>
      <c r="Q8" s="10">
        <v>106</v>
      </c>
      <c r="R8" s="10">
        <f t="shared" si="0"/>
        <v>86</v>
      </c>
      <c r="S8" s="10">
        <v>20</v>
      </c>
      <c r="T8" s="10">
        <v>85</v>
      </c>
      <c r="V8" t="s">
        <v>9727</v>
      </c>
      <c r="W8" s="14" t="s">
        <v>9906</v>
      </c>
    </row>
    <row r="9" spans="1:24" x14ac:dyDescent="0.2">
      <c r="B9" t="s">
        <v>9696</v>
      </c>
      <c r="C9" t="s">
        <v>9737</v>
      </c>
      <c r="D9" t="s">
        <v>9909</v>
      </c>
      <c r="E9" t="s">
        <v>9699</v>
      </c>
      <c r="F9" t="s">
        <v>9730</v>
      </c>
      <c r="G9" s="13" t="s">
        <v>9738</v>
      </c>
      <c r="H9" t="s">
        <v>9739</v>
      </c>
      <c r="I9" t="s">
        <v>9721</v>
      </c>
      <c r="J9" t="s">
        <v>9694</v>
      </c>
      <c r="K9" s="10">
        <v>27.32</v>
      </c>
      <c r="L9" s="10">
        <v>16.32</v>
      </c>
      <c r="M9" s="10">
        <v>4.9400000000000004</v>
      </c>
      <c r="N9" s="10">
        <v>6.9</v>
      </c>
      <c r="O9" s="10">
        <v>10.84</v>
      </c>
      <c r="P9" s="10">
        <v>20.16</v>
      </c>
      <c r="Q9" s="10">
        <v>112</v>
      </c>
      <c r="R9" s="10">
        <f t="shared" si="0"/>
        <v>89</v>
      </c>
      <c r="S9" s="10">
        <v>23</v>
      </c>
      <c r="T9" s="10">
        <v>89</v>
      </c>
      <c r="U9" s="8" t="s">
        <v>9908</v>
      </c>
      <c r="V9" t="s">
        <v>9731</v>
      </c>
      <c r="W9" s="14" t="s">
        <v>9906</v>
      </c>
    </row>
    <row r="10" spans="1:24" x14ac:dyDescent="0.2">
      <c r="B10" t="s">
        <v>9696</v>
      </c>
      <c r="C10" t="s">
        <v>9736</v>
      </c>
      <c r="D10" t="s">
        <v>9732</v>
      </c>
      <c r="E10" t="s">
        <v>9699</v>
      </c>
      <c r="F10" t="s">
        <v>9733</v>
      </c>
      <c r="G10" s="13" t="s">
        <v>9740</v>
      </c>
      <c r="H10" t="s">
        <v>9741</v>
      </c>
      <c r="I10" t="s">
        <v>9742</v>
      </c>
      <c r="J10" t="s">
        <v>9694</v>
      </c>
      <c r="K10" s="10">
        <v>25.76</v>
      </c>
      <c r="L10" s="10">
        <v>15.41</v>
      </c>
      <c r="M10" s="10">
        <v>5.44</v>
      </c>
      <c r="N10" s="10">
        <v>7.23</v>
      </c>
      <c r="O10" s="10">
        <v>10.5</v>
      </c>
      <c r="P10" s="10">
        <v>20.49</v>
      </c>
      <c r="Q10" s="10">
        <v>104</v>
      </c>
      <c r="R10" s="10">
        <f t="shared" si="0"/>
        <v>85</v>
      </c>
      <c r="S10" s="10">
        <v>19</v>
      </c>
      <c r="T10" s="10">
        <v>90</v>
      </c>
      <c r="V10" t="s">
        <v>9734</v>
      </c>
      <c r="W10" s="14" t="s">
        <v>9906</v>
      </c>
    </row>
    <row r="11" spans="1:24" x14ac:dyDescent="0.2">
      <c r="B11" t="s">
        <v>9696</v>
      </c>
      <c r="C11" t="s">
        <v>9736</v>
      </c>
      <c r="D11" t="s">
        <v>9732</v>
      </c>
      <c r="E11" t="s">
        <v>9699</v>
      </c>
      <c r="F11" t="s">
        <v>9735</v>
      </c>
      <c r="G11" s="13" t="s">
        <v>9743</v>
      </c>
      <c r="H11" t="s">
        <v>9775</v>
      </c>
      <c r="I11" t="s">
        <v>9742</v>
      </c>
      <c r="J11" t="s">
        <v>9694</v>
      </c>
      <c r="K11" s="10">
        <v>26.6</v>
      </c>
      <c r="L11" s="10">
        <v>16.559999999999999</v>
      </c>
      <c r="M11" s="10">
        <v>5.42</v>
      </c>
      <c r="N11" s="10">
        <v>6.9</v>
      </c>
      <c r="O11" s="10">
        <v>11.11</v>
      </c>
      <c r="P11" s="10">
        <v>19.98</v>
      </c>
      <c r="Q11" s="10">
        <v>102</v>
      </c>
      <c r="R11" s="10">
        <f t="shared" si="0"/>
        <v>82</v>
      </c>
      <c r="S11" s="10">
        <v>20</v>
      </c>
      <c r="T11" s="10">
        <v>85</v>
      </c>
      <c r="V11" t="s">
        <v>9734</v>
      </c>
      <c r="W11" s="14" t="s">
        <v>9906</v>
      </c>
    </row>
    <row r="12" spans="1:24" x14ac:dyDescent="0.2">
      <c r="B12" t="s">
        <v>9696</v>
      </c>
      <c r="C12" t="s">
        <v>9736</v>
      </c>
      <c r="D12" t="s">
        <v>9732</v>
      </c>
      <c r="E12" t="s">
        <v>9699</v>
      </c>
      <c r="F12" t="s">
        <v>9747</v>
      </c>
      <c r="G12" s="13" t="s">
        <v>9746</v>
      </c>
      <c r="H12" s="8" t="s">
        <v>9773</v>
      </c>
      <c r="I12" t="s">
        <v>9742</v>
      </c>
      <c r="J12" t="s">
        <v>9694</v>
      </c>
      <c r="K12" s="10">
        <v>25.08</v>
      </c>
      <c r="L12" s="10">
        <v>16.190000000000001</v>
      </c>
      <c r="M12" s="10">
        <v>5.57</v>
      </c>
      <c r="N12" s="10">
        <v>6.42</v>
      </c>
      <c r="O12" s="10">
        <v>9.99</v>
      </c>
      <c r="P12" s="10">
        <v>19.46</v>
      </c>
      <c r="Q12" s="10">
        <v>99</v>
      </c>
      <c r="R12" s="10">
        <f t="shared" si="0"/>
        <v>80</v>
      </c>
      <c r="S12" s="10">
        <v>19</v>
      </c>
      <c r="T12" s="10">
        <v>85</v>
      </c>
      <c r="V12" t="s">
        <v>9734</v>
      </c>
      <c r="W12" s="14" t="s">
        <v>9906</v>
      </c>
    </row>
    <row r="13" spans="1:24" x14ac:dyDescent="0.2">
      <c r="B13" t="s">
        <v>9696</v>
      </c>
      <c r="C13" t="s">
        <v>9736</v>
      </c>
      <c r="D13" t="s">
        <v>9732</v>
      </c>
      <c r="E13" t="s">
        <v>9699</v>
      </c>
      <c r="F13" t="s">
        <v>9748</v>
      </c>
      <c r="G13" s="13" t="s">
        <v>9749</v>
      </c>
      <c r="H13" t="s">
        <v>9774</v>
      </c>
      <c r="I13" t="s">
        <v>9742</v>
      </c>
      <c r="J13" t="s">
        <v>9693</v>
      </c>
      <c r="K13" s="10">
        <v>24.16</v>
      </c>
      <c r="L13" s="10">
        <v>14.41</v>
      </c>
      <c r="M13" s="10">
        <v>5.4</v>
      </c>
      <c r="N13" s="10">
        <v>7.04</v>
      </c>
      <c r="O13" s="10">
        <v>10.73</v>
      </c>
      <c r="P13" s="10">
        <v>19.059999999999999</v>
      </c>
      <c r="Q13" s="10">
        <v>104</v>
      </c>
      <c r="R13" s="10">
        <f t="shared" si="0"/>
        <v>86</v>
      </c>
      <c r="S13" s="10">
        <v>18</v>
      </c>
      <c r="T13" s="10">
        <v>82</v>
      </c>
      <c r="V13" t="s">
        <v>9734</v>
      </c>
      <c r="W13" s="14" t="s">
        <v>9906</v>
      </c>
    </row>
    <row r="14" spans="1:24" x14ac:dyDescent="0.2">
      <c r="B14" t="s">
        <v>9696</v>
      </c>
      <c r="C14" t="s">
        <v>9736</v>
      </c>
      <c r="D14" t="s">
        <v>9732</v>
      </c>
      <c r="E14" t="s">
        <v>9699</v>
      </c>
      <c r="F14" t="s">
        <v>9750</v>
      </c>
      <c r="G14" s="13" t="s">
        <v>9751</v>
      </c>
      <c r="H14" t="s">
        <v>9774</v>
      </c>
      <c r="I14" t="s">
        <v>9742</v>
      </c>
      <c r="J14" t="s">
        <v>9693</v>
      </c>
      <c r="K14" s="10">
        <v>26.05</v>
      </c>
      <c r="L14" s="10">
        <v>16.149999999999999</v>
      </c>
      <c r="M14" s="10">
        <v>5.56</v>
      </c>
      <c r="N14" s="10">
        <v>6.22</v>
      </c>
      <c r="O14" s="10">
        <v>11.77</v>
      </c>
      <c r="P14" s="10">
        <v>19.920000000000002</v>
      </c>
      <c r="Q14" s="10">
        <v>102</v>
      </c>
      <c r="R14" s="10">
        <f t="shared" si="0"/>
        <v>80</v>
      </c>
      <c r="S14" s="10">
        <v>22</v>
      </c>
      <c r="T14" s="10">
        <v>85</v>
      </c>
      <c r="V14" t="s">
        <v>9734</v>
      </c>
      <c r="W14" s="14" t="s">
        <v>9906</v>
      </c>
    </row>
    <row r="15" spans="1:24" x14ac:dyDescent="0.2">
      <c r="B15" t="s">
        <v>9696</v>
      </c>
      <c r="C15" t="s">
        <v>9736</v>
      </c>
      <c r="D15" t="s">
        <v>9732</v>
      </c>
      <c r="E15" t="s">
        <v>9699</v>
      </c>
      <c r="F15" t="s">
        <v>9752</v>
      </c>
      <c r="G15" s="13" t="s">
        <v>9743</v>
      </c>
      <c r="H15" t="s">
        <v>9775</v>
      </c>
      <c r="I15" t="s">
        <v>9742</v>
      </c>
      <c r="J15" t="s">
        <v>9693</v>
      </c>
      <c r="K15" s="10">
        <v>26.28</v>
      </c>
      <c r="L15" s="10">
        <v>16.3</v>
      </c>
      <c r="M15" s="10">
        <v>5.65</v>
      </c>
      <c r="N15" s="10">
        <v>6.51</v>
      </c>
      <c r="O15" s="10">
        <v>10.7</v>
      </c>
      <c r="P15" s="10">
        <v>20.72</v>
      </c>
      <c r="Q15" s="10">
        <v>101</v>
      </c>
      <c r="R15" s="10">
        <f t="shared" si="0"/>
        <v>83</v>
      </c>
      <c r="S15" s="10">
        <v>18</v>
      </c>
      <c r="T15" s="10">
        <v>83</v>
      </c>
      <c r="V15" t="s">
        <v>9734</v>
      </c>
      <c r="W15" s="14" t="s">
        <v>9906</v>
      </c>
    </row>
    <row r="16" spans="1:24" x14ac:dyDescent="0.2">
      <c r="B16" t="s">
        <v>9696</v>
      </c>
      <c r="C16" t="s">
        <v>9736</v>
      </c>
      <c r="D16" t="s">
        <v>9732</v>
      </c>
      <c r="E16" t="s">
        <v>9699</v>
      </c>
      <c r="F16" t="s">
        <v>9753</v>
      </c>
      <c r="G16" s="13" t="s">
        <v>9743</v>
      </c>
      <c r="H16" t="s">
        <v>9775</v>
      </c>
      <c r="I16" t="s">
        <v>9742</v>
      </c>
      <c r="J16" t="s">
        <v>9694</v>
      </c>
      <c r="K16" s="10">
        <v>26.74</v>
      </c>
      <c r="L16" s="10">
        <v>16.86</v>
      </c>
      <c r="M16" s="10">
        <v>5.54</v>
      </c>
      <c r="N16" s="10">
        <v>6.55</v>
      </c>
      <c r="O16" s="10">
        <v>11.17</v>
      </c>
      <c r="P16" s="10">
        <v>20.49</v>
      </c>
      <c r="Q16" s="10">
        <v>102</v>
      </c>
      <c r="R16" s="10">
        <f t="shared" si="0"/>
        <v>84</v>
      </c>
      <c r="S16" s="10">
        <v>18</v>
      </c>
      <c r="T16" s="10">
        <v>86</v>
      </c>
      <c r="V16" t="s">
        <v>9734</v>
      </c>
      <c r="W16" s="14" t="s">
        <v>9906</v>
      </c>
    </row>
    <row r="17" spans="2:23" x14ac:dyDescent="0.2">
      <c r="B17" t="s">
        <v>9696</v>
      </c>
      <c r="C17" t="s">
        <v>9736</v>
      </c>
      <c r="D17" t="s">
        <v>9732</v>
      </c>
      <c r="E17" t="s">
        <v>9699</v>
      </c>
      <c r="F17" t="s">
        <v>9754</v>
      </c>
      <c r="G17" s="13" t="s">
        <v>9779</v>
      </c>
      <c r="H17" t="s">
        <v>9776</v>
      </c>
      <c r="I17" t="s">
        <v>9742</v>
      </c>
      <c r="J17" t="s">
        <v>9694</v>
      </c>
      <c r="K17" s="10">
        <v>27.33</v>
      </c>
      <c r="L17" s="10">
        <v>16.739999999999998</v>
      </c>
      <c r="M17" s="10">
        <v>5.24</v>
      </c>
      <c r="N17" s="10">
        <v>7.15</v>
      </c>
      <c r="O17" s="10">
        <v>12.47</v>
      </c>
      <c r="P17" s="10">
        <v>20.41</v>
      </c>
      <c r="Q17" s="10">
        <v>104</v>
      </c>
      <c r="R17" s="10">
        <f t="shared" si="0"/>
        <v>84</v>
      </c>
      <c r="S17" s="10">
        <v>20</v>
      </c>
      <c r="T17" s="10">
        <v>86</v>
      </c>
      <c r="V17" t="s">
        <v>9734</v>
      </c>
      <c r="W17" s="14" t="s">
        <v>9906</v>
      </c>
    </row>
    <row r="18" spans="2:23" x14ac:dyDescent="0.2">
      <c r="B18" t="s">
        <v>9696</v>
      </c>
      <c r="C18" t="s">
        <v>9736</v>
      </c>
      <c r="D18" t="s">
        <v>9732</v>
      </c>
      <c r="E18" t="s">
        <v>9699</v>
      </c>
      <c r="F18" t="s">
        <v>9755</v>
      </c>
      <c r="G18" s="13" t="s">
        <v>9777</v>
      </c>
      <c r="H18" t="s">
        <v>9776</v>
      </c>
      <c r="I18" t="s">
        <v>9742</v>
      </c>
      <c r="J18" t="s">
        <v>9693</v>
      </c>
      <c r="K18" s="10">
        <v>26.99</v>
      </c>
      <c r="L18" s="10">
        <v>17.03</v>
      </c>
      <c r="M18" s="10">
        <v>5.6</v>
      </c>
      <c r="N18" s="10">
        <v>7.23</v>
      </c>
      <c r="O18" s="10">
        <v>11.33</v>
      </c>
      <c r="P18" s="10">
        <v>19.95</v>
      </c>
      <c r="Q18" s="10">
        <v>103</v>
      </c>
      <c r="R18" s="10">
        <f t="shared" si="0"/>
        <v>83</v>
      </c>
      <c r="S18" s="10">
        <v>20</v>
      </c>
      <c r="T18" s="10">
        <v>86</v>
      </c>
      <c r="V18" t="s">
        <v>9734</v>
      </c>
      <c r="W18" s="14" t="s">
        <v>9906</v>
      </c>
    </row>
    <row r="19" spans="2:23" x14ac:dyDescent="0.2">
      <c r="B19" t="s">
        <v>9696</v>
      </c>
      <c r="C19" t="s">
        <v>9736</v>
      </c>
      <c r="D19" t="s">
        <v>9732</v>
      </c>
      <c r="E19" t="s">
        <v>9699</v>
      </c>
      <c r="F19" t="s">
        <v>9756</v>
      </c>
      <c r="G19" s="13" t="s">
        <v>9778</v>
      </c>
      <c r="H19" t="s">
        <v>9776</v>
      </c>
      <c r="I19" t="s">
        <v>9742</v>
      </c>
      <c r="J19" t="s">
        <v>9694</v>
      </c>
      <c r="K19" s="10">
        <v>25.41</v>
      </c>
      <c r="L19" s="10">
        <v>15.73</v>
      </c>
      <c r="M19" s="10">
        <v>5.4</v>
      </c>
      <c r="N19" s="10">
        <v>7.2</v>
      </c>
      <c r="O19" s="10">
        <v>11.67</v>
      </c>
      <c r="P19" s="10">
        <v>19.350000000000001</v>
      </c>
      <c r="Q19" s="10">
        <v>106</v>
      </c>
      <c r="R19" s="10">
        <f t="shared" si="0"/>
        <v>83</v>
      </c>
      <c r="S19" s="10">
        <v>23</v>
      </c>
      <c r="T19" s="10">
        <v>85</v>
      </c>
      <c r="V19" t="s">
        <v>9734</v>
      </c>
      <c r="W19" s="14" t="s">
        <v>9906</v>
      </c>
    </row>
    <row r="20" spans="2:23" x14ac:dyDescent="0.2">
      <c r="B20" t="s">
        <v>9696</v>
      </c>
      <c r="C20" t="s">
        <v>9736</v>
      </c>
      <c r="D20" t="s">
        <v>9732</v>
      </c>
      <c r="E20" t="s">
        <v>9699</v>
      </c>
      <c r="F20" t="s">
        <v>9757</v>
      </c>
      <c r="G20" s="13" t="s">
        <v>9779</v>
      </c>
      <c r="H20" t="s">
        <v>9776</v>
      </c>
      <c r="I20" t="s">
        <v>9742</v>
      </c>
      <c r="J20" t="s">
        <v>9694</v>
      </c>
      <c r="K20" s="10">
        <v>26.08</v>
      </c>
      <c r="L20" s="10">
        <v>16.829999999999998</v>
      </c>
      <c r="M20" s="10">
        <v>5.15</v>
      </c>
      <c r="N20" s="10">
        <v>6.79</v>
      </c>
      <c r="O20" s="10">
        <v>11.28</v>
      </c>
      <c r="P20" s="10">
        <v>20.45</v>
      </c>
      <c r="Q20" s="10">
        <v>106</v>
      </c>
      <c r="R20" s="10">
        <f t="shared" si="0"/>
        <v>83</v>
      </c>
      <c r="S20" s="10">
        <v>23</v>
      </c>
      <c r="T20" s="10">
        <v>87</v>
      </c>
      <c r="V20" t="s">
        <v>9734</v>
      </c>
      <c r="W20" s="14" t="s">
        <v>9906</v>
      </c>
    </row>
    <row r="21" spans="2:23" x14ac:dyDescent="0.2">
      <c r="B21" t="s">
        <v>9696</v>
      </c>
      <c r="C21" t="s">
        <v>9736</v>
      </c>
      <c r="D21" t="s">
        <v>9732</v>
      </c>
      <c r="E21" t="s">
        <v>9699</v>
      </c>
      <c r="F21" t="s">
        <v>9758</v>
      </c>
      <c r="G21" s="13" t="s">
        <v>9780</v>
      </c>
      <c r="H21" t="s">
        <v>9776</v>
      </c>
      <c r="I21" t="s">
        <v>9742</v>
      </c>
      <c r="J21" t="s">
        <v>9693</v>
      </c>
      <c r="K21" s="10">
        <v>25.5</v>
      </c>
      <c r="L21" s="10">
        <v>15.43</v>
      </c>
      <c r="M21" s="10">
        <v>5.01</v>
      </c>
      <c r="N21" s="10">
        <v>6.5</v>
      </c>
      <c r="O21" s="10">
        <v>11.81</v>
      </c>
      <c r="P21" s="10">
        <v>19.71</v>
      </c>
      <c r="Q21" s="10">
        <v>103</v>
      </c>
      <c r="R21" s="10">
        <f t="shared" si="0"/>
        <v>82</v>
      </c>
      <c r="S21" s="10">
        <v>21</v>
      </c>
      <c r="T21" s="10">
        <v>84</v>
      </c>
      <c r="V21" t="s">
        <v>9734</v>
      </c>
      <c r="W21" s="14" t="s">
        <v>9906</v>
      </c>
    </row>
    <row r="22" spans="2:23" x14ac:dyDescent="0.2">
      <c r="B22" t="s">
        <v>9696</v>
      </c>
      <c r="C22" t="s">
        <v>9736</v>
      </c>
      <c r="D22" t="s">
        <v>9732</v>
      </c>
      <c r="E22" t="s">
        <v>9699</v>
      </c>
      <c r="F22" t="s">
        <v>9759</v>
      </c>
      <c r="G22" s="13" t="s">
        <v>9778</v>
      </c>
      <c r="H22" t="s">
        <v>9776</v>
      </c>
      <c r="I22" t="s">
        <v>9742</v>
      </c>
      <c r="J22" t="s">
        <v>9693</v>
      </c>
      <c r="K22" s="10">
        <v>27.4</v>
      </c>
      <c r="L22" s="10">
        <v>17.079999999999998</v>
      </c>
      <c r="M22" s="10">
        <v>5.77</v>
      </c>
      <c r="N22" s="10">
        <v>7.54</v>
      </c>
      <c r="O22" s="10">
        <v>11.6</v>
      </c>
      <c r="P22" s="10">
        <v>20.92</v>
      </c>
      <c r="Q22" s="10">
        <v>101</v>
      </c>
      <c r="R22" s="10">
        <f t="shared" si="0"/>
        <v>83</v>
      </c>
      <c r="S22" s="10">
        <v>18</v>
      </c>
      <c r="T22" s="10">
        <v>87</v>
      </c>
      <c r="V22" t="s">
        <v>9734</v>
      </c>
      <c r="W22" s="14" t="s">
        <v>9906</v>
      </c>
    </row>
    <row r="23" spans="2:23" x14ac:dyDescent="0.2">
      <c r="B23" t="s">
        <v>9696</v>
      </c>
      <c r="C23" t="s">
        <v>9736</v>
      </c>
      <c r="D23" t="s">
        <v>9732</v>
      </c>
      <c r="E23" t="s">
        <v>9699</v>
      </c>
      <c r="F23" t="s">
        <v>9760</v>
      </c>
      <c r="G23" s="13" t="s">
        <v>9777</v>
      </c>
      <c r="H23" t="s">
        <v>9776</v>
      </c>
      <c r="I23" t="s">
        <v>9742</v>
      </c>
      <c r="J23" t="s">
        <v>9693</v>
      </c>
      <c r="K23" s="10">
        <v>23.53</v>
      </c>
      <c r="L23" s="10">
        <v>14.46</v>
      </c>
      <c r="M23" s="10">
        <v>5.27</v>
      </c>
      <c r="N23" s="10">
        <v>6.29</v>
      </c>
      <c r="O23" s="15">
        <v>11.8</v>
      </c>
      <c r="P23" s="10">
        <v>20.11</v>
      </c>
      <c r="Q23" s="10">
        <v>95</v>
      </c>
      <c r="R23" s="10">
        <f t="shared" si="0"/>
        <v>79</v>
      </c>
      <c r="S23" s="10">
        <v>16</v>
      </c>
      <c r="T23" s="10">
        <v>81</v>
      </c>
      <c r="V23" t="s">
        <v>9734</v>
      </c>
      <c r="W23" s="14" t="s">
        <v>9906</v>
      </c>
    </row>
    <row r="24" spans="2:23" x14ac:dyDescent="0.2">
      <c r="B24" t="s">
        <v>9696</v>
      </c>
      <c r="C24" t="s">
        <v>9736</v>
      </c>
      <c r="D24" t="s">
        <v>9732</v>
      </c>
      <c r="E24" t="s">
        <v>9699</v>
      </c>
      <c r="F24" t="s">
        <v>9761</v>
      </c>
      <c r="G24" s="13" t="s">
        <v>9781</v>
      </c>
      <c r="H24" t="s">
        <v>9776</v>
      </c>
      <c r="I24" t="s">
        <v>9742</v>
      </c>
      <c r="J24" t="s">
        <v>9694</v>
      </c>
      <c r="K24" s="10">
        <v>25.76</v>
      </c>
      <c r="L24" s="10">
        <v>15.4</v>
      </c>
      <c r="M24" s="10">
        <v>5.18</v>
      </c>
      <c r="N24" s="10">
        <v>6.59</v>
      </c>
      <c r="O24" s="10">
        <v>11.71</v>
      </c>
      <c r="P24" s="10">
        <v>20.059999999999999</v>
      </c>
      <c r="Q24" s="10">
        <v>103</v>
      </c>
      <c r="R24" s="10">
        <f t="shared" si="0"/>
        <v>83</v>
      </c>
      <c r="S24" s="10">
        <v>20</v>
      </c>
      <c r="T24" s="10">
        <v>84</v>
      </c>
      <c r="V24" t="s">
        <v>9734</v>
      </c>
      <c r="W24" s="14" t="s">
        <v>9906</v>
      </c>
    </row>
    <row r="25" spans="2:23" x14ac:dyDescent="0.2">
      <c r="B25" t="s">
        <v>9696</v>
      </c>
      <c r="C25" t="s">
        <v>9765</v>
      </c>
      <c r="D25" t="s">
        <v>9762</v>
      </c>
      <c r="E25" t="s">
        <v>9699</v>
      </c>
      <c r="F25" t="s">
        <v>9763</v>
      </c>
      <c r="G25" s="13" t="s">
        <v>9859</v>
      </c>
      <c r="H25" s="8" t="s">
        <v>9782</v>
      </c>
      <c r="I25" t="s">
        <v>9742</v>
      </c>
      <c r="J25" t="s">
        <v>9694</v>
      </c>
      <c r="K25" s="10">
        <v>24.37</v>
      </c>
      <c r="L25" s="10">
        <v>15.51</v>
      </c>
      <c r="M25" s="10">
        <v>5.2</v>
      </c>
      <c r="N25" s="10">
        <v>6.09</v>
      </c>
      <c r="O25" s="10">
        <v>11.41</v>
      </c>
      <c r="P25" s="10">
        <v>20.04</v>
      </c>
      <c r="Q25" s="10">
        <v>106</v>
      </c>
      <c r="R25" s="10">
        <f t="shared" si="0"/>
        <v>84</v>
      </c>
      <c r="S25" s="10">
        <v>22</v>
      </c>
      <c r="T25" s="10">
        <v>88</v>
      </c>
      <c r="V25" t="s">
        <v>9772</v>
      </c>
      <c r="W25" s="14" t="s">
        <v>9906</v>
      </c>
    </row>
    <row r="26" spans="2:23" x14ac:dyDescent="0.2">
      <c r="B26" t="s">
        <v>9696</v>
      </c>
      <c r="C26" t="s">
        <v>9765</v>
      </c>
      <c r="D26" t="s">
        <v>9762</v>
      </c>
      <c r="E26" t="s">
        <v>9699</v>
      </c>
      <c r="F26" t="s">
        <v>9764</v>
      </c>
      <c r="G26" s="13" t="s">
        <v>9859</v>
      </c>
      <c r="H26" s="8" t="s">
        <v>9782</v>
      </c>
      <c r="I26" t="s">
        <v>9742</v>
      </c>
      <c r="J26" t="s">
        <v>9694</v>
      </c>
      <c r="K26" s="10">
        <v>25.41</v>
      </c>
      <c r="L26" s="10">
        <v>15.85</v>
      </c>
      <c r="M26" s="10">
        <v>5.19</v>
      </c>
      <c r="N26" s="10">
        <v>6.38</v>
      </c>
      <c r="O26" s="10">
        <v>11.74</v>
      </c>
      <c r="P26" s="10">
        <v>20.27</v>
      </c>
      <c r="Q26" s="10">
        <v>103</v>
      </c>
      <c r="R26" s="10">
        <f t="shared" si="0"/>
        <v>82</v>
      </c>
      <c r="S26" s="10">
        <v>21</v>
      </c>
      <c r="T26" s="10">
        <v>86</v>
      </c>
      <c r="V26" t="s">
        <v>9772</v>
      </c>
      <c r="W26" s="14" t="s">
        <v>9906</v>
      </c>
    </row>
    <row r="27" spans="2:23" x14ac:dyDescent="0.2">
      <c r="B27" t="s">
        <v>9696</v>
      </c>
      <c r="C27" t="s">
        <v>9765</v>
      </c>
      <c r="D27" t="s">
        <v>9762</v>
      </c>
      <c r="E27" t="s">
        <v>9699</v>
      </c>
      <c r="F27" t="s">
        <v>9766</v>
      </c>
      <c r="G27" s="13" t="s">
        <v>9866</v>
      </c>
      <c r="H27" s="8" t="s">
        <v>9783</v>
      </c>
      <c r="I27" t="s">
        <v>9742</v>
      </c>
      <c r="J27" t="s">
        <v>9694</v>
      </c>
      <c r="K27" s="10">
        <v>24.96</v>
      </c>
      <c r="L27" s="10">
        <v>15.57</v>
      </c>
      <c r="M27" s="10">
        <v>5.43</v>
      </c>
      <c r="N27" s="10">
        <v>6.61</v>
      </c>
      <c r="O27" s="10">
        <v>10.16</v>
      </c>
      <c r="P27" s="10">
        <v>19.75</v>
      </c>
      <c r="Q27" s="10">
        <v>103</v>
      </c>
      <c r="R27" s="10">
        <f t="shared" si="0"/>
        <v>81</v>
      </c>
      <c r="S27" s="10">
        <v>22</v>
      </c>
      <c r="T27" s="10">
        <v>84</v>
      </c>
      <c r="V27" t="s">
        <v>9772</v>
      </c>
      <c r="W27" s="14" t="s">
        <v>9906</v>
      </c>
    </row>
    <row r="28" spans="2:23" x14ac:dyDescent="0.2">
      <c r="B28" t="s">
        <v>9696</v>
      </c>
      <c r="C28" t="s">
        <v>9765</v>
      </c>
      <c r="D28" t="s">
        <v>9762</v>
      </c>
      <c r="E28" t="s">
        <v>9699</v>
      </c>
      <c r="F28" t="s">
        <v>9767</v>
      </c>
      <c r="G28" s="13" t="s">
        <v>9866</v>
      </c>
      <c r="H28" s="8" t="s">
        <v>9783</v>
      </c>
      <c r="I28" t="s">
        <v>9742</v>
      </c>
      <c r="J28" t="s">
        <v>9694</v>
      </c>
      <c r="K28" s="10">
        <v>26.03</v>
      </c>
      <c r="L28" s="10">
        <v>16.7</v>
      </c>
      <c r="M28" s="10">
        <v>5.49</v>
      </c>
      <c r="N28" s="10">
        <v>6.41</v>
      </c>
      <c r="O28" s="10">
        <v>11.57</v>
      </c>
      <c r="P28" s="10">
        <v>19.09</v>
      </c>
      <c r="Q28" s="10">
        <v>105</v>
      </c>
      <c r="R28" s="10">
        <f t="shared" si="0"/>
        <v>83</v>
      </c>
      <c r="S28" s="10">
        <v>22</v>
      </c>
      <c r="T28" s="10">
        <v>88</v>
      </c>
      <c r="V28" t="s">
        <v>9772</v>
      </c>
      <c r="W28" s="14" t="s">
        <v>9906</v>
      </c>
    </row>
    <row r="29" spans="2:23" x14ac:dyDescent="0.2">
      <c r="B29" t="s">
        <v>9696</v>
      </c>
      <c r="C29" t="s">
        <v>9765</v>
      </c>
      <c r="D29" t="s">
        <v>9762</v>
      </c>
      <c r="E29" t="s">
        <v>9699</v>
      </c>
      <c r="F29" t="s">
        <v>9768</v>
      </c>
      <c r="G29" s="13" t="s">
        <v>9865</v>
      </c>
      <c r="H29" s="8" t="s">
        <v>9783</v>
      </c>
      <c r="I29" t="s">
        <v>9742</v>
      </c>
      <c r="J29" t="s">
        <v>9694</v>
      </c>
      <c r="K29" s="10">
        <v>25.16</v>
      </c>
      <c r="L29" s="10">
        <v>15.74</v>
      </c>
      <c r="M29" s="10">
        <v>5.78</v>
      </c>
      <c r="N29" s="10">
        <v>6.51</v>
      </c>
      <c r="O29" s="10">
        <v>11.8</v>
      </c>
      <c r="P29" s="10">
        <v>19.399999999999999</v>
      </c>
      <c r="Q29" s="10">
        <v>107</v>
      </c>
      <c r="R29" s="10">
        <f t="shared" si="0"/>
        <v>86</v>
      </c>
      <c r="S29" s="10">
        <v>21</v>
      </c>
      <c r="T29" s="10">
        <v>92</v>
      </c>
      <c r="V29" t="s">
        <v>9772</v>
      </c>
      <c r="W29" s="14" t="s">
        <v>9906</v>
      </c>
    </row>
    <row r="30" spans="2:23" x14ac:dyDescent="0.2">
      <c r="B30" t="s">
        <v>9696</v>
      </c>
      <c r="C30" t="s">
        <v>9765</v>
      </c>
      <c r="D30" t="s">
        <v>9762</v>
      </c>
      <c r="E30" t="s">
        <v>9699</v>
      </c>
      <c r="F30" t="s">
        <v>9769</v>
      </c>
      <c r="G30" s="13" t="s">
        <v>9865</v>
      </c>
      <c r="H30" s="8" t="s">
        <v>9783</v>
      </c>
      <c r="I30" t="s">
        <v>9742</v>
      </c>
      <c r="J30" t="s">
        <v>9694</v>
      </c>
      <c r="K30" s="10">
        <v>25.01</v>
      </c>
      <c r="L30" s="10">
        <v>16.12</v>
      </c>
      <c r="M30" s="10">
        <v>5.31</v>
      </c>
      <c r="N30" s="10">
        <v>6.22</v>
      </c>
      <c r="O30" s="10">
        <v>11.9</v>
      </c>
      <c r="P30" s="10">
        <v>20.9</v>
      </c>
      <c r="Q30" s="10">
        <v>102</v>
      </c>
      <c r="R30" s="10">
        <f t="shared" si="0"/>
        <v>81</v>
      </c>
      <c r="S30" s="10">
        <v>21</v>
      </c>
      <c r="T30" s="10">
        <v>90</v>
      </c>
      <c r="V30" t="s">
        <v>9772</v>
      </c>
      <c r="W30" s="14" t="s">
        <v>9906</v>
      </c>
    </row>
    <row r="31" spans="2:23" x14ac:dyDescent="0.2">
      <c r="B31" t="s">
        <v>9696</v>
      </c>
      <c r="C31" t="s">
        <v>9765</v>
      </c>
      <c r="D31" t="s">
        <v>9762</v>
      </c>
      <c r="E31" t="s">
        <v>9699</v>
      </c>
      <c r="F31" t="s">
        <v>9770</v>
      </c>
      <c r="G31" s="13" t="s">
        <v>9865</v>
      </c>
      <c r="H31" s="8" t="s">
        <v>9783</v>
      </c>
      <c r="I31" t="s">
        <v>9742</v>
      </c>
      <c r="J31" t="s">
        <v>9694</v>
      </c>
      <c r="K31" s="10">
        <v>26.2</v>
      </c>
      <c r="L31" s="10">
        <v>16.27</v>
      </c>
      <c r="M31" s="10">
        <v>5.6</v>
      </c>
      <c r="N31" s="10">
        <v>6.31</v>
      </c>
      <c r="O31" s="10">
        <v>12.96</v>
      </c>
      <c r="P31" s="10">
        <v>20.73</v>
      </c>
      <c r="Q31" s="10">
        <v>103</v>
      </c>
      <c r="R31" s="10">
        <f t="shared" si="0"/>
        <v>83</v>
      </c>
      <c r="S31" s="10">
        <v>20</v>
      </c>
      <c r="T31" s="10">
        <v>89</v>
      </c>
      <c r="V31" t="s">
        <v>9772</v>
      </c>
      <c r="W31" s="14" t="s">
        <v>9906</v>
      </c>
    </row>
    <row r="32" spans="2:23" x14ac:dyDescent="0.2">
      <c r="B32" t="s">
        <v>9696</v>
      </c>
      <c r="C32" t="s">
        <v>9765</v>
      </c>
      <c r="D32" t="s">
        <v>9762</v>
      </c>
      <c r="E32" t="s">
        <v>9699</v>
      </c>
      <c r="F32" t="s">
        <v>9771</v>
      </c>
      <c r="G32" s="13" t="s">
        <v>9864</v>
      </c>
      <c r="H32" s="8" t="s">
        <v>9784</v>
      </c>
      <c r="I32" t="s">
        <v>9742</v>
      </c>
      <c r="J32" t="s">
        <v>9693</v>
      </c>
      <c r="K32" s="10">
        <v>22.81</v>
      </c>
      <c r="L32" s="10">
        <v>14.94</v>
      </c>
      <c r="M32" s="10">
        <v>5.59</v>
      </c>
      <c r="N32" s="10">
        <v>5.81</v>
      </c>
      <c r="O32" s="10">
        <v>11.31</v>
      </c>
      <c r="P32" s="10">
        <v>18.489999999999998</v>
      </c>
      <c r="Q32" s="10">
        <v>91</v>
      </c>
      <c r="R32" s="10">
        <f t="shared" si="0"/>
        <v>78</v>
      </c>
      <c r="S32" s="10">
        <v>13</v>
      </c>
      <c r="T32" s="10">
        <v>84</v>
      </c>
      <c r="V32" t="s">
        <v>9772</v>
      </c>
      <c r="W32" s="14" t="s">
        <v>9906</v>
      </c>
    </row>
    <row r="33" spans="2:23" x14ac:dyDescent="0.2">
      <c r="B33" t="s">
        <v>9696</v>
      </c>
      <c r="C33" t="s">
        <v>9765</v>
      </c>
      <c r="D33" t="s">
        <v>9762</v>
      </c>
      <c r="E33" t="s">
        <v>9699</v>
      </c>
      <c r="F33" t="s">
        <v>9785</v>
      </c>
      <c r="G33" s="13" t="s">
        <v>9869</v>
      </c>
      <c r="H33" t="s">
        <v>9868</v>
      </c>
      <c r="I33" t="s">
        <v>9742</v>
      </c>
      <c r="J33" t="s">
        <v>9694</v>
      </c>
      <c r="K33" s="10">
        <v>23.66</v>
      </c>
      <c r="L33" s="10">
        <v>14.98</v>
      </c>
      <c r="M33" s="10">
        <v>4.45</v>
      </c>
      <c r="N33" s="10">
        <v>6.39</v>
      </c>
      <c r="O33" s="10">
        <v>11.24</v>
      </c>
      <c r="P33" s="10">
        <v>19.100000000000001</v>
      </c>
      <c r="Q33" s="10">
        <v>102</v>
      </c>
      <c r="R33" s="10">
        <f t="shared" si="0"/>
        <v>82</v>
      </c>
      <c r="S33" s="10">
        <v>20</v>
      </c>
      <c r="T33" s="10">
        <v>83</v>
      </c>
      <c r="V33" t="s">
        <v>9772</v>
      </c>
      <c r="W33" s="14" t="s">
        <v>9906</v>
      </c>
    </row>
    <row r="34" spans="2:23" x14ac:dyDescent="0.2">
      <c r="B34" t="s">
        <v>9696</v>
      </c>
      <c r="C34" t="s">
        <v>9765</v>
      </c>
      <c r="D34" t="s">
        <v>9762</v>
      </c>
      <c r="E34" t="s">
        <v>9699</v>
      </c>
      <c r="F34" t="s">
        <v>9786</v>
      </c>
      <c r="G34" s="13" t="s">
        <v>9863</v>
      </c>
      <c r="H34" t="s">
        <v>9868</v>
      </c>
      <c r="I34" t="s">
        <v>9742</v>
      </c>
      <c r="J34" t="s">
        <v>9693</v>
      </c>
      <c r="K34" s="10">
        <v>23.47</v>
      </c>
      <c r="L34" s="10">
        <v>14.58</v>
      </c>
      <c r="M34" s="10">
        <v>5.45</v>
      </c>
      <c r="N34" s="10">
        <v>6.09</v>
      </c>
      <c r="O34" s="10">
        <v>11.54</v>
      </c>
      <c r="P34" s="10">
        <v>19.100000000000001</v>
      </c>
      <c r="Q34" s="10">
        <v>100</v>
      </c>
      <c r="R34" s="10">
        <f t="shared" si="0"/>
        <v>80</v>
      </c>
      <c r="S34" s="10">
        <v>20</v>
      </c>
      <c r="T34" s="10">
        <v>86</v>
      </c>
      <c r="V34" t="s">
        <v>9772</v>
      </c>
      <c r="W34" s="14" t="s">
        <v>9906</v>
      </c>
    </row>
    <row r="35" spans="2:23" x14ac:dyDescent="0.2">
      <c r="B35" t="s">
        <v>9696</v>
      </c>
      <c r="C35" t="s">
        <v>9765</v>
      </c>
      <c r="D35" t="s">
        <v>9762</v>
      </c>
      <c r="E35" t="s">
        <v>9699</v>
      </c>
      <c r="F35" t="s">
        <v>9787</v>
      </c>
      <c r="G35" s="13" t="s">
        <v>9862</v>
      </c>
      <c r="H35" t="s">
        <v>9868</v>
      </c>
      <c r="I35" t="s">
        <v>9742</v>
      </c>
      <c r="J35" t="s">
        <v>9694</v>
      </c>
      <c r="K35" s="10">
        <v>24.45</v>
      </c>
      <c r="L35" s="10">
        <v>16</v>
      </c>
      <c r="M35" s="10">
        <v>6.08</v>
      </c>
      <c r="N35" s="10">
        <v>6.31</v>
      </c>
      <c r="O35" s="10">
        <v>11.85</v>
      </c>
      <c r="P35" s="10">
        <v>18.690000000000001</v>
      </c>
      <c r="Q35" s="10">
        <v>103</v>
      </c>
      <c r="R35" s="10">
        <f t="shared" si="0"/>
        <v>80</v>
      </c>
      <c r="S35" s="10">
        <v>23</v>
      </c>
      <c r="T35" s="10">
        <v>86</v>
      </c>
      <c r="V35" t="s">
        <v>9772</v>
      </c>
      <c r="W35" s="14" t="s">
        <v>9906</v>
      </c>
    </row>
    <row r="36" spans="2:23" x14ac:dyDescent="0.2">
      <c r="B36" t="s">
        <v>9696</v>
      </c>
      <c r="C36" t="s">
        <v>9765</v>
      </c>
      <c r="D36" t="s">
        <v>9762</v>
      </c>
      <c r="E36" t="s">
        <v>9699</v>
      </c>
      <c r="F36" t="s">
        <v>9788</v>
      </c>
      <c r="G36" s="13" t="s">
        <v>9861</v>
      </c>
      <c r="H36" t="s">
        <v>9870</v>
      </c>
      <c r="I36" t="s">
        <v>9742</v>
      </c>
      <c r="J36" t="s">
        <v>9694</v>
      </c>
      <c r="K36" s="10">
        <v>24.86</v>
      </c>
      <c r="L36" s="10">
        <v>15.44</v>
      </c>
      <c r="M36" s="10">
        <v>4.82</v>
      </c>
      <c r="N36" s="10">
        <v>7.07</v>
      </c>
      <c r="O36" s="10">
        <v>12.6</v>
      </c>
      <c r="P36" s="10">
        <v>19.78</v>
      </c>
      <c r="Q36" s="10">
        <v>109</v>
      </c>
      <c r="R36" s="10">
        <f t="shared" si="0"/>
        <v>87</v>
      </c>
      <c r="S36" s="10">
        <v>22</v>
      </c>
      <c r="T36" s="10">
        <v>88</v>
      </c>
      <c r="V36" t="s">
        <v>9772</v>
      </c>
      <c r="W36" s="14" t="s">
        <v>9906</v>
      </c>
    </row>
    <row r="37" spans="2:23" x14ac:dyDescent="0.2">
      <c r="B37" t="s">
        <v>9696</v>
      </c>
      <c r="C37" t="s">
        <v>9765</v>
      </c>
      <c r="D37" t="s">
        <v>9762</v>
      </c>
      <c r="E37" t="s">
        <v>9699</v>
      </c>
      <c r="F37" t="s">
        <v>9789</v>
      </c>
      <c r="G37" s="13" t="s">
        <v>9860</v>
      </c>
      <c r="H37" t="s">
        <v>9871</v>
      </c>
      <c r="I37" t="s">
        <v>9742</v>
      </c>
      <c r="J37" t="s">
        <v>9694</v>
      </c>
      <c r="K37" s="10">
        <v>26.22</v>
      </c>
      <c r="L37" s="10">
        <v>16.46</v>
      </c>
      <c r="M37" s="10">
        <v>5.1100000000000003</v>
      </c>
      <c r="N37" s="10">
        <v>6.99</v>
      </c>
      <c r="O37" s="10">
        <v>11.16</v>
      </c>
      <c r="P37" s="10">
        <v>19.329999999999998</v>
      </c>
      <c r="Q37" s="10">
        <v>105</v>
      </c>
      <c r="R37" s="10">
        <f t="shared" si="0"/>
        <v>82</v>
      </c>
      <c r="S37" s="10">
        <v>23</v>
      </c>
      <c r="T37" s="10">
        <v>86</v>
      </c>
      <c r="V37" t="s">
        <v>9772</v>
      </c>
      <c r="W37" s="14" t="s">
        <v>9906</v>
      </c>
    </row>
    <row r="38" spans="2:23" x14ac:dyDescent="0.2">
      <c r="B38" t="s">
        <v>9696</v>
      </c>
      <c r="C38" t="s">
        <v>9765</v>
      </c>
      <c r="D38" t="s">
        <v>9762</v>
      </c>
      <c r="E38" t="s">
        <v>9699</v>
      </c>
      <c r="F38" t="s">
        <v>9790</v>
      </c>
      <c r="G38" s="13" t="s">
        <v>9859</v>
      </c>
      <c r="H38" s="8" t="s">
        <v>9782</v>
      </c>
      <c r="I38" t="s">
        <v>9742</v>
      </c>
      <c r="J38" t="s">
        <v>9693</v>
      </c>
      <c r="K38" s="10">
        <v>24.52</v>
      </c>
      <c r="L38" s="10">
        <v>15.02</v>
      </c>
      <c r="M38" s="10">
        <v>5.26</v>
      </c>
      <c r="N38" s="10">
        <v>5.87</v>
      </c>
      <c r="O38" s="10">
        <v>11.64</v>
      </c>
      <c r="P38" s="10">
        <v>19.600000000000001</v>
      </c>
      <c r="Q38" s="10">
        <v>95</v>
      </c>
      <c r="R38" s="10">
        <f t="shared" si="0"/>
        <v>76</v>
      </c>
      <c r="S38" s="10">
        <v>19</v>
      </c>
      <c r="T38" s="10">
        <v>89</v>
      </c>
      <c r="V38" t="s">
        <v>9772</v>
      </c>
      <c r="W38" s="14" t="s">
        <v>9906</v>
      </c>
    </row>
    <row r="39" spans="2:23" x14ac:dyDescent="0.2">
      <c r="B39" t="s">
        <v>9696</v>
      </c>
      <c r="C39" t="s">
        <v>9791</v>
      </c>
      <c r="D39" s="8" t="s">
        <v>9910</v>
      </c>
      <c r="E39" t="s">
        <v>9699</v>
      </c>
      <c r="F39" t="s">
        <v>9792</v>
      </c>
      <c r="G39" s="13" t="s">
        <v>9872</v>
      </c>
      <c r="H39" t="s">
        <v>9873</v>
      </c>
      <c r="I39" t="s">
        <v>9742</v>
      </c>
      <c r="J39" t="s">
        <v>9694</v>
      </c>
      <c r="K39" s="10">
        <v>32.79</v>
      </c>
      <c r="L39" s="10">
        <v>20.86</v>
      </c>
      <c r="M39" s="10">
        <v>5.84</v>
      </c>
      <c r="N39" s="10">
        <v>8.18</v>
      </c>
      <c r="O39" s="10">
        <v>12.98</v>
      </c>
      <c r="P39" s="10">
        <v>24.14</v>
      </c>
      <c r="Q39" s="10">
        <v>127</v>
      </c>
      <c r="R39" s="10">
        <f t="shared" si="0"/>
        <v>102</v>
      </c>
      <c r="S39" s="10">
        <v>25</v>
      </c>
      <c r="T39" s="10">
        <v>111</v>
      </c>
      <c r="V39" t="s">
        <v>9805</v>
      </c>
      <c r="W39" s="14" t="s">
        <v>9906</v>
      </c>
    </row>
    <row r="40" spans="2:23" x14ac:dyDescent="0.2">
      <c r="B40" t="s">
        <v>9696</v>
      </c>
      <c r="C40" t="s">
        <v>9791</v>
      </c>
      <c r="D40" s="8" t="s">
        <v>9910</v>
      </c>
      <c r="E40" t="s">
        <v>9699</v>
      </c>
      <c r="F40" t="s">
        <v>9793</v>
      </c>
      <c r="G40" s="13" t="s">
        <v>9874</v>
      </c>
      <c r="H40" t="s">
        <v>9873</v>
      </c>
      <c r="I40" t="s">
        <v>9742</v>
      </c>
      <c r="J40" t="s">
        <v>9694</v>
      </c>
      <c r="K40" s="10">
        <v>32.96</v>
      </c>
      <c r="L40" s="10">
        <v>20.97</v>
      </c>
      <c r="M40" s="10">
        <v>5.75</v>
      </c>
      <c r="N40" s="10">
        <v>7.99</v>
      </c>
      <c r="O40" s="10">
        <v>13.06</v>
      </c>
      <c r="P40" s="10">
        <v>22.88</v>
      </c>
      <c r="Q40" s="10">
        <v>131</v>
      </c>
      <c r="R40" s="10">
        <f t="shared" si="0"/>
        <v>101</v>
      </c>
      <c r="S40" s="10">
        <v>30</v>
      </c>
      <c r="T40" s="10">
        <v>106</v>
      </c>
      <c r="V40" t="s">
        <v>9805</v>
      </c>
      <c r="W40" s="14" t="s">
        <v>9906</v>
      </c>
    </row>
    <row r="41" spans="2:23" x14ac:dyDescent="0.2">
      <c r="B41" t="s">
        <v>9696</v>
      </c>
      <c r="C41" t="s">
        <v>9791</v>
      </c>
      <c r="D41" s="8" t="s">
        <v>9910</v>
      </c>
      <c r="E41" t="s">
        <v>9699</v>
      </c>
      <c r="F41" t="s">
        <v>9794</v>
      </c>
      <c r="G41" s="13" t="s">
        <v>9874</v>
      </c>
      <c r="H41" t="s">
        <v>9873</v>
      </c>
      <c r="I41" t="s">
        <v>9742</v>
      </c>
      <c r="J41" t="s">
        <v>9694</v>
      </c>
      <c r="K41" s="10">
        <v>34.31</v>
      </c>
      <c r="L41" s="10">
        <v>21.99</v>
      </c>
      <c r="M41" s="10">
        <v>7.14</v>
      </c>
      <c r="N41" s="10">
        <v>8.81</v>
      </c>
      <c r="O41" s="10">
        <v>13.34</v>
      </c>
      <c r="P41" s="10">
        <v>20.440000000000001</v>
      </c>
      <c r="Q41" s="10">
        <v>135</v>
      </c>
      <c r="R41" s="10">
        <f t="shared" si="0"/>
        <v>108</v>
      </c>
      <c r="S41" s="10">
        <v>27</v>
      </c>
      <c r="T41" s="10">
        <v>110</v>
      </c>
      <c r="V41" t="s">
        <v>9805</v>
      </c>
      <c r="W41" s="14" t="s">
        <v>9906</v>
      </c>
    </row>
    <row r="42" spans="2:23" x14ac:dyDescent="0.2">
      <c r="B42" t="s">
        <v>9696</v>
      </c>
      <c r="C42" t="s">
        <v>9791</v>
      </c>
      <c r="D42" s="8" t="s">
        <v>9910</v>
      </c>
      <c r="E42" t="s">
        <v>9699</v>
      </c>
      <c r="F42" t="s">
        <v>9795</v>
      </c>
      <c r="G42" s="13" t="s">
        <v>9875</v>
      </c>
      <c r="H42" t="s">
        <v>9873</v>
      </c>
      <c r="I42" t="s">
        <v>9742</v>
      </c>
      <c r="J42" t="s">
        <v>9694</v>
      </c>
      <c r="K42" s="10">
        <v>32.450000000000003</v>
      </c>
      <c r="L42" s="10">
        <v>20.059999999999999</v>
      </c>
      <c r="M42" s="10">
        <v>5.65</v>
      </c>
      <c r="N42" s="10">
        <v>7.99</v>
      </c>
      <c r="O42" s="10">
        <v>13.25</v>
      </c>
      <c r="P42" s="10">
        <v>21.22</v>
      </c>
      <c r="Q42" s="10">
        <v>126</v>
      </c>
      <c r="R42" s="10">
        <f t="shared" si="0"/>
        <v>93</v>
      </c>
      <c r="S42" s="10">
        <v>33</v>
      </c>
      <c r="T42" s="10">
        <v>100</v>
      </c>
      <c r="V42" t="s">
        <v>9805</v>
      </c>
      <c r="W42" s="14" t="s">
        <v>9906</v>
      </c>
    </row>
    <row r="43" spans="2:23" x14ac:dyDescent="0.2">
      <c r="B43" t="s">
        <v>9696</v>
      </c>
      <c r="C43" t="s">
        <v>9791</v>
      </c>
      <c r="D43" s="8" t="s">
        <v>9910</v>
      </c>
      <c r="E43" t="s">
        <v>9699</v>
      </c>
      <c r="F43" t="s">
        <v>9796</v>
      </c>
      <c r="G43" s="13" t="s">
        <v>9876</v>
      </c>
      <c r="H43" t="s">
        <v>9873</v>
      </c>
      <c r="I43" t="s">
        <v>9742</v>
      </c>
      <c r="J43" t="s">
        <v>9694</v>
      </c>
      <c r="K43" s="10">
        <v>34.520000000000003</v>
      </c>
      <c r="L43" s="10">
        <v>21.75</v>
      </c>
      <c r="M43" s="10">
        <v>6.92</v>
      </c>
      <c r="N43" s="10">
        <v>8.75</v>
      </c>
      <c r="O43" s="10">
        <v>14.55</v>
      </c>
      <c r="P43" s="10">
        <v>23.02</v>
      </c>
      <c r="Q43" s="10">
        <v>134</v>
      </c>
      <c r="R43" s="10">
        <f t="shared" si="0"/>
        <v>107</v>
      </c>
      <c r="S43" s="10">
        <v>27</v>
      </c>
      <c r="T43" s="10">
        <v>110</v>
      </c>
      <c r="V43" t="s">
        <v>9805</v>
      </c>
      <c r="W43" s="14" t="s">
        <v>9906</v>
      </c>
    </row>
    <row r="44" spans="2:23" x14ac:dyDescent="0.2">
      <c r="B44" t="s">
        <v>9696</v>
      </c>
      <c r="C44" t="s">
        <v>9791</v>
      </c>
      <c r="D44" s="8" t="s">
        <v>9910</v>
      </c>
      <c r="E44" t="s">
        <v>9699</v>
      </c>
      <c r="F44" t="s">
        <v>9797</v>
      </c>
      <c r="G44" s="13" t="s">
        <v>9877</v>
      </c>
      <c r="H44" t="s">
        <v>9873</v>
      </c>
      <c r="I44" t="s">
        <v>9742</v>
      </c>
      <c r="J44" t="s">
        <v>9693</v>
      </c>
      <c r="K44" s="10">
        <v>31.83</v>
      </c>
      <c r="L44" s="10">
        <v>19.62</v>
      </c>
      <c r="M44" s="10">
        <v>6.81</v>
      </c>
      <c r="N44" s="10">
        <v>8.41</v>
      </c>
      <c r="O44" s="10">
        <v>13.82</v>
      </c>
      <c r="P44" s="10">
        <v>22.86</v>
      </c>
      <c r="Q44" s="10">
        <v>120</v>
      </c>
      <c r="R44" s="10">
        <f t="shared" si="0"/>
        <v>95</v>
      </c>
      <c r="S44" s="10">
        <v>25</v>
      </c>
      <c r="T44" s="10">
        <v>99</v>
      </c>
      <c r="V44" t="s">
        <v>9805</v>
      </c>
      <c r="W44" s="14" t="s">
        <v>9906</v>
      </c>
    </row>
    <row r="45" spans="2:23" x14ac:dyDescent="0.2">
      <c r="B45" t="s">
        <v>9696</v>
      </c>
      <c r="C45" t="s">
        <v>9791</v>
      </c>
      <c r="D45" s="8" t="s">
        <v>9910</v>
      </c>
      <c r="E45" t="s">
        <v>9699</v>
      </c>
      <c r="F45" t="s">
        <v>9878</v>
      </c>
      <c r="G45" s="13" t="s">
        <v>9872</v>
      </c>
      <c r="H45" t="s">
        <v>9873</v>
      </c>
      <c r="I45" t="s">
        <v>9742</v>
      </c>
      <c r="J45" t="s">
        <v>9693</v>
      </c>
      <c r="K45" s="10">
        <v>32.35</v>
      </c>
      <c r="L45" s="10">
        <v>20.059999999999999</v>
      </c>
      <c r="M45" s="10">
        <v>6.3</v>
      </c>
      <c r="N45" s="10">
        <v>8.15</v>
      </c>
      <c r="O45" s="10">
        <v>12.86</v>
      </c>
      <c r="P45" s="10">
        <v>21.87</v>
      </c>
      <c r="Q45" s="10">
        <v>125</v>
      </c>
      <c r="R45" s="10">
        <f t="shared" si="0"/>
        <v>104</v>
      </c>
      <c r="S45" s="10">
        <v>21</v>
      </c>
      <c r="T45" s="10">
        <v>105</v>
      </c>
      <c r="V45" t="s">
        <v>9805</v>
      </c>
      <c r="W45" s="14" t="s">
        <v>9906</v>
      </c>
    </row>
    <row r="46" spans="2:23" x14ac:dyDescent="0.2">
      <c r="B46" t="s">
        <v>9696</v>
      </c>
      <c r="C46" t="s">
        <v>9791</v>
      </c>
      <c r="D46" s="8" t="s">
        <v>9910</v>
      </c>
      <c r="E46" t="s">
        <v>9699</v>
      </c>
      <c r="F46" t="s">
        <v>9798</v>
      </c>
      <c r="G46" s="13" t="s">
        <v>9879</v>
      </c>
      <c r="H46" t="s">
        <v>9873</v>
      </c>
      <c r="I46" t="s">
        <v>9742</v>
      </c>
      <c r="J46" t="s">
        <v>9694</v>
      </c>
      <c r="K46" s="10">
        <v>34.700000000000003</v>
      </c>
      <c r="L46" s="10">
        <v>20.97</v>
      </c>
      <c r="M46" s="10">
        <v>6.64</v>
      </c>
      <c r="N46" s="10">
        <v>8.4700000000000006</v>
      </c>
      <c r="O46" s="10">
        <v>12.73</v>
      </c>
      <c r="P46" s="10">
        <v>23.25</v>
      </c>
      <c r="Q46" s="10">
        <v>136</v>
      </c>
      <c r="R46" s="10">
        <f t="shared" si="0"/>
        <v>105</v>
      </c>
      <c r="S46" s="10">
        <v>31</v>
      </c>
      <c r="T46" s="10">
        <v>111</v>
      </c>
      <c r="V46" t="s">
        <v>9805</v>
      </c>
      <c r="W46" s="14" t="s">
        <v>9906</v>
      </c>
    </row>
    <row r="47" spans="2:23" x14ac:dyDescent="0.2">
      <c r="B47" t="s">
        <v>9696</v>
      </c>
      <c r="C47" t="s">
        <v>9791</v>
      </c>
      <c r="D47" s="8" t="s">
        <v>9910</v>
      </c>
      <c r="E47" t="s">
        <v>9699</v>
      </c>
      <c r="F47" t="s">
        <v>9799</v>
      </c>
      <c r="G47" s="13" t="s">
        <v>9880</v>
      </c>
      <c r="H47" t="s">
        <v>9881</v>
      </c>
      <c r="I47" t="s">
        <v>9742</v>
      </c>
      <c r="J47" t="s">
        <v>9693</v>
      </c>
      <c r="K47" s="10">
        <v>31.03</v>
      </c>
      <c r="L47" s="10">
        <v>18.7</v>
      </c>
      <c r="M47" s="10">
        <v>6.24</v>
      </c>
      <c r="N47" s="10">
        <v>8.51</v>
      </c>
      <c r="O47" s="10">
        <v>13.71</v>
      </c>
      <c r="P47" s="10">
        <v>22.92</v>
      </c>
      <c r="Q47" s="10">
        <v>124</v>
      </c>
      <c r="R47" s="10">
        <f t="shared" si="0"/>
        <v>96</v>
      </c>
      <c r="S47" s="10">
        <v>28</v>
      </c>
      <c r="T47" s="10">
        <v>101</v>
      </c>
      <c r="V47" t="s">
        <v>9805</v>
      </c>
      <c r="W47" s="14" t="s">
        <v>9906</v>
      </c>
    </row>
    <row r="48" spans="2:23" x14ac:dyDescent="0.2">
      <c r="B48" t="s">
        <v>9696</v>
      </c>
      <c r="C48" t="s">
        <v>9791</v>
      </c>
      <c r="D48" s="8" t="s">
        <v>9910</v>
      </c>
      <c r="E48" t="s">
        <v>9699</v>
      </c>
      <c r="F48" t="s">
        <v>9800</v>
      </c>
      <c r="G48" s="13" t="s">
        <v>9882</v>
      </c>
      <c r="H48" t="s">
        <v>9881</v>
      </c>
      <c r="I48" t="s">
        <v>9742</v>
      </c>
      <c r="J48" t="s">
        <v>9693</v>
      </c>
      <c r="K48" s="10">
        <v>30.89</v>
      </c>
      <c r="L48" s="10">
        <v>18.57</v>
      </c>
      <c r="M48" s="10">
        <v>6.21</v>
      </c>
      <c r="N48" s="10">
        <v>7.62</v>
      </c>
      <c r="O48" s="10">
        <v>12.59</v>
      </c>
      <c r="P48" s="10">
        <v>22.98</v>
      </c>
      <c r="Q48" s="10">
        <v>118</v>
      </c>
      <c r="R48" s="10">
        <f t="shared" si="0"/>
        <v>90</v>
      </c>
      <c r="S48" s="10">
        <v>28</v>
      </c>
      <c r="T48" s="10">
        <v>104</v>
      </c>
      <c r="V48" t="s">
        <v>9805</v>
      </c>
      <c r="W48" s="14" t="s">
        <v>9906</v>
      </c>
    </row>
    <row r="49" spans="2:23" x14ac:dyDescent="0.2">
      <c r="B49" t="s">
        <v>9696</v>
      </c>
      <c r="C49" t="s">
        <v>9791</v>
      </c>
      <c r="D49" s="8" t="s">
        <v>9910</v>
      </c>
      <c r="E49" t="s">
        <v>9699</v>
      </c>
      <c r="F49" t="s">
        <v>9801</v>
      </c>
      <c r="G49" s="13" t="s">
        <v>9883</v>
      </c>
      <c r="H49" t="s">
        <v>9881</v>
      </c>
      <c r="I49" t="s">
        <v>9742</v>
      </c>
      <c r="J49" t="s">
        <v>9693</v>
      </c>
      <c r="K49" s="10">
        <v>30.71</v>
      </c>
      <c r="L49" s="10">
        <v>18.84</v>
      </c>
      <c r="M49" s="10">
        <v>5.9</v>
      </c>
      <c r="N49" s="10">
        <v>8.06</v>
      </c>
      <c r="O49" s="10">
        <v>13.04</v>
      </c>
      <c r="P49" s="10">
        <v>23.05</v>
      </c>
      <c r="Q49" s="10">
        <v>121</v>
      </c>
      <c r="R49" s="10">
        <f t="shared" si="0"/>
        <v>96</v>
      </c>
      <c r="S49" s="10">
        <v>25</v>
      </c>
      <c r="T49" s="10">
        <v>101</v>
      </c>
      <c r="V49" t="s">
        <v>9805</v>
      </c>
      <c r="W49" s="14" t="s">
        <v>9906</v>
      </c>
    </row>
    <row r="50" spans="2:23" x14ac:dyDescent="0.2">
      <c r="B50" t="s">
        <v>9696</v>
      </c>
      <c r="C50" t="s">
        <v>9791</v>
      </c>
      <c r="D50" s="8" t="s">
        <v>9910</v>
      </c>
      <c r="E50" t="s">
        <v>9699</v>
      </c>
      <c r="F50" t="s">
        <v>9802</v>
      </c>
      <c r="G50" s="13" t="s">
        <v>9884</v>
      </c>
      <c r="H50" t="s">
        <v>9881</v>
      </c>
      <c r="I50" t="s">
        <v>9742</v>
      </c>
      <c r="J50" t="s">
        <v>9694</v>
      </c>
      <c r="K50" s="10">
        <v>31.7</v>
      </c>
      <c r="L50" s="10">
        <v>20.7</v>
      </c>
      <c r="M50" s="10">
        <v>6.25</v>
      </c>
      <c r="N50" s="10">
        <v>7.99</v>
      </c>
      <c r="O50" s="10">
        <v>11.96</v>
      </c>
      <c r="P50" s="10">
        <v>22.63</v>
      </c>
      <c r="Q50" s="10">
        <v>125</v>
      </c>
      <c r="R50" s="10">
        <f t="shared" si="0"/>
        <v>97</v>
      </c>
      <c r="S50" s="10">
        <v>28</v>
      </c>
      <c r="T50" s="10">
        <v>106</v>
      </c>
      <c r="V50" t="s">
        <v>9805</v>
      </c>
      <c r="W50" s="14" t="s">
        <v>9906</v>
      </c>
    </row>
    <row r="51" spans="2:23" x14ac:dyDescent="0.2">
      <c r="B51" t="s">
        <v>9696</v>
      </c>
      <c r="C51" t="s">
        <v>9791</v>
      </c>
      <c r="D51" s="8" t="s">
        <v>9910</v>
      </c>
      <c r="E51" t="s">
        <v>9699</v>
      </c>
      <c r="F51" t="s">
        <v>9803</v>
      </c>
      <c r="G51" s="13" t="s">
        <v>9858</v>
      </c>
      <c r="H51" t="s">
        <v>9881</v>
      </c>
      <c r="I51" t="s">
        <v>9742</v>
      </c>
      <c r="J51" t="s">
        <v>9694</v>
      </c>
      <c r="K51" s="10">
        <v>31.99</v>
      </c>
      <c r="L51" s="10">
        <v>19.93</v>
      </c>
      <c r="M51" s="10">
        <v>6.04</v>
      </c>
      <c r="N51" s="10">
        <v>8.11</v>
      </c>
      <c r="O51" s="10">
        <v>12.18</v>
      </c>
      <c r="P51" s="10">
        <v>22.63</v>
      </c>
      <c r="Q51" s="10">
        <v>124</v>
      </c>
      <c r="R51" s="10">
        <f t="shared" si="0"/>
        <v>103</v>
      </c>
      <c r="S51" s="10">
        <v>21</v>
      </c>
      <c r="T51" s="10">
        <v>103</v>
      </c>
      <c r="V51" t="s">
        <v>9805</v>
      </c>
      <c r="W51" s="14" t="s">
        <v>9906</v>
      </c>
    </row>
    <row r="52" spans="2:23" x14ac:dyDescent="0.2">
      <c r="B52" t="s">
        <v>9696</v>
      </c>
      <c r="C52" t="s">
        <v>9791</v>
      </c>
      <c r="D52" s="8" t="s">
        <v>9910</v>
      </c>
      <c r="E52" t="s">
        <v>9699</v>
      </c>
      <c r="F52" t="s">
        <v>9804</v>
      </c>
      <c r="G52" s="13" t="s">
        <v>9857</v>
      </c>
      <c r="H52" t="s">
        <v>9873</v>
      </c>
      <c r="I52" t="s">
        <v>9742</v>
      </c>
      <c r="J52" t="s">
        <v>9693</v>
      </c>
      <c r="K52" s="10">
        <v>31.92</v>
      </c>
      <c r="L52" s="10">
        <v>19.47</v>
      </c>
      <c r="M52" s="10">
        <v>7.14</v>
      </c>
      <c r="N52" s="10">
        <v>8</v>
      </c>
      <c r="O52" s="10">
        <v>13.11</v>
      </c>
      <c r="P52" s="10">
        <v>23.93</v>
      </c>
      <c r="Q52" s="10">
        <v>125</v>
      </c>
      <c r="R52" s="10">
        <f t="shared" si="0"/>
        <v>98</v>
      </c>
      <c r="S52" s="10">
        <v>27</v>
      </c>
      <c r="T52" s="10">
        <v>102</v>
      </c>
      <c r="V52" t="s">
        <v>9805</v>
      </c>
      <c r="W52" s="14" t="s">
        <v>9906</v>
      </c>
    </row>
    <row r="53" spans="2:23" x14ac:dyDescent="0.2">
      <c r="B53" t="s">
        <v>9696</v>
      </c>
      <c r="C53" t="s">
        <v>9806</v>
      </c>
      <c r="D53" t="s">
        <v>9807</v>
      </c>
      <c r="E53" t="s">
        <v>9699</v>
      </c>
      <c r="F53" t="s">
        <v>9808</v>
      </c>
      <c r="G53" s="13" t="s">
        <v>9809</v>
      </c>
      <c r="H53" t="s">
        <v>9886</v>
      </c>
      <c r="I53" t="s">
        <v>9887</v>
      </c>
      <c r="J53" t="s">
        <v>9693</v>
      </c>
      <c r="K53" s="10">
        <v>19.12</v>
      </c>
      <c r="L53" s="10">
        <v>10.63</v>
      </c>
      <c r="M53" s="10">
        <v>4.66</v>
      </c>
      <c r="N53" s="10">
        <v>4.12</v>
      </c>
      <c r="O53" s="10">
        <v>11.59</v>
      </c>
      <c r="P53" s="10">
        <v>18.440000000000001</v>
      </c>
      <c r="Q53" s="10">
        <v>90</v>
      </c>
      <c r="R53" s="10">
        <f t="shared" si="0"/>
        <v>70</v>
      </c>
      <c r="S53" s="10">
        <v>20</v>
      </c>
      <c r="T53" s="10">
        <v>79</v>
      </c>
      <c r="V53" t="s">
        <v>9885</v>
      </c>
      <c r="W53" s="14" t="s">
        <v>9906</v>
      </c>
    </row>
    <row r="54" spans="2:23" x14ac:dyDescent="0.2">
      <c r="B54" t="s">
        <v>9696</v>
      </c>
      <c r="C54" t="s">
        <v>9806</v>
      </c>
      <c r="D54" t="s">
        <v>9807</v>
      </c>
      <c r="E54" t="s">
        <v>9699</v>
      </c>
      <c r="F54" t="s">
        <v>9810</v>
      </c>
      <c r="G54" s="13" t="s">
        <v>9811</v>
      </c>
      <c r="H54" t="s">
        <v>9888</v>
      </c>
      <c r="I54" t="s">
        <v>9887</v>
      </c>
      <c r="J54" t="s">
        <v>9693</v>
      </c>
      <c r="K54" s="10">
        <v>19.95</v>
      </c>
      <c r="L54" s="10">
        <v>10.85</v>
      </c>
      <c r="M54" s="10">
        <v>4.24</v>
      </c>
      <c r="N54" s="10">
        <v>4.38</v>
      </c>
      <c r="O54" s="10">
        <v>10.7</v>
      </c>
      <c r="P54" s="10">
        <v>17.61</v>
      </c>
      <c r="Q54" s="10">
        <v>88</v>
      </c>
      <c r="R54" s="10">
        <f t="shared" si="0"/>
        <v>71</v>
      </c>
      <c r="S54" s="10">
        <v>17</v>
      </c>
      <c r="T54" s="10">
        <v>78</v>
      </c>
      <c r="W54" s="14" t="s">
        <v>9906</v>
      </c>
    </row>
    <row r="55" spans="2:23" x14ac:dyDescent="0.2">
      <c r="B55" t="s">
        <v>9696</v>
      </c>
      <c r="C55" t="s">
        <v>9806</v>
      </c>
      <c r="D55" t="s">
        <v>9807</v>
      </c>
      <c r="E55" t="s">
        <v>9699</v>
      </c>
      <c r="F55" t="s">
        <v>9812</v>
      </c>
      <c r="G55" s="13" t="s">
        <v>9813</v>
      </c>
      <c r="H55" t="s">
        <v>9889</v>
      </c>
      <c r="I55" t="s">
        <v>9887</v>
      </c>
      <c r="J55" t="s">
        <v>9694</v>
      </c>
      <c r="K55" s="10">
        <v>20.98</v>
      </c>
      <c r="L55" s="10">
        <v>12.13</v>
      </c>
      <c r="M55" s="10">
        <v>4.7699999999999996</v>
      </c>
      <c r="N55" s="10">
        <v>5.28</v>
      </c>
      <c r="O55" s="10">
        <v>10.11</v>
      </c>
      <c r="P55" s="10">
        <v>18.34</v>
      </c>
      <c r="Q55" s="10">
        <v>91</v>
      </c>
      <c r="R55" s="10">
        <f t="shared" si="0"/>
        <v>74</v>
      </c>
      <c r="S55" s="10">
        <v>17</v>
      </c>
      <c r="T55" s="10">
        <v>82</v>
      </c>
      <c r="W55" s="14" t="s">
        <v>9906</v>
      </c>
    </row>
    <row r="56" spans="2:23" x14ac:dyDescent="0.2">
      <c r="B56" t="s">
        <v>9696</v>
      </c>
      <c r="C56" t="s">
        <v>9806</v>
      </c>
      <c r="D56" t="s">
        <v>9807</v>
      </c>
      <c r="E56" t="s">
        <v>9699</v>
      </c>
      <c r="F56" t="s">
        <v>9814</v>
      </c>
      <c r="G56" s="13" t="s">
        <v>9815</v>
      </c>
      <c r="H56" t="s">
        <v>9890</v>
      </c>
      <c r="I56" t="s">
        <v>9887</v>
      </c>
      <c r="J56" t="s">
        <v>9694</v>
      </c>
      <c r="K56" s="10">
        <v>21.69</v>
      </c>
      <c r="L56" s="10">
        <v>12.05</v>
      </c>
      <c r="M56" s="10">
        <v>4.57</v>
      </c>
      <c r="N56" s="10">
        <v>4.8499999999999996</v>
      </c>
      <c r="O56" s="10">
        <v>10.64</v>
      </c>
      <c r="P56" s="10">
        <v>17.690000000000001</v>
      </c>
      <c r="Q56" s="10">
        <v>92</v>
      </c>
      <c r="R56" s="10">
        <f t="shared" si="0"/>
        <v>73</v>
      </c>
      <c r="S56" s="10">
        <v>19</v>
      </c>
      <c r="T56" s="10">
        <v>89</v>
      </c>
      <c r="W56" s="14" t="s">
        <v>9906</v>
      </c>
    </row>
    <row r="57" spans="2:23" x14ac:dyDescent="0.2">
      <c r="B57" t="s">
        <v>9696</v>
      </c>
      <c r="C57" t="s">
        <v>9816</v>
      </c>
      <c r="D57" t="s">
        <v>3980</v>
      </c>
      <c r="E57" t="s">
        <v>9699</v>
      </c>
      <c r="F57" t="s">
        <v>9817</v>
      </c>
      <c r="G57" s="13" t="s">
        <v>9818</v>
      </c>
      <c r="H57" t="s">
        <v>9892</v>
      </c>
      <c r="I57" t="s">
        <v>9891</v>
      </c>
      <c r="J57" t="s">
        <v>9693</v>
      </c>
      <c r="K57" s="10">
        <v>18.649999999999999</v>
      </c>
      <c r="L57" s="10">
        <v>9.89</v>
      </c>
      <c r="M57" s="10">
        <v>3.92</v>
      </c>
      <c r="N57" s="10">
        <v>4.9000000000000004</v>
      </c>
      <c r="O57" s="10">
        <v>8.68</v>
      </c>
      <c r="P57" s="10">
        <v>20.239999999999998</v>
      </c>
      <c r="Q57" s="10">
        <v>73</v>
      </c>
      <c r="R57" s="10">
        <f t="shared" si="0"/>
        <v>64</v>
      </c>
      <c r="S57" s="10">
        <v>9</v>
      </c>
      <c r="T57" s="10">
        <v>73</v>
      </c>
      <c r="W57" s="14" t="s">
        <v>9906</v>
      </c>
    </row>
    <row r="58" spans="2:23" x14ac:dyDescent="0.2">
      <c r="B58" t="s">
        <v>9696</v>
      </c>
      <c r="C58" t="s">
        <v>9816</v>
      </c>
      <c r="D58" t="s">
        <v>3980</v>
      </c>
      <c r="E58" t="s">
        <v>9699</v>
      </c>
      <c r="F58" t="s">
        <v>9819</v>
      </c>
      <c r="G58" s="13" t="s">
        <v>9820</v>
      </c>
      <c r="H58" t="s">
        <v>9892</v>
      </c>
      <c r="I58" t="s">
        <v>9891</v>
      </c>
      <c r="J58" t="s">
        <v>9693</v>
      </c>
      <c r="K58" s="10">
        <v>17.739999999999998</v>
      </c>
      <c r="L58" s="10">
        <v>9.52</v>
      </c>
      <c r="M58" s="10">
        <v>3.7</v>
      </c>
      <c r="N58" s="10">
        <v>4.12</v>
      </c>
      <c r="O58" s="10">
        <v>8.99</v>
      </c>
      <c r="P58" s="10">
        <v>21.03</v>
      </c>
      <c r="Q58" s="10">
        <v>68</v>
      </c>
      <c r="R58" s="10">
        <f t="shared" si="0"/>
        <v>59</v>
      </c>
      <c r="S58" s="10">
        <v>9</v>
      </c>
      <c r="T58" s="10">
        <v>68</v>
      </c>
      <c r="W58" s="14" t="s">
        <v>9906</v>
      </c>
    </row>
    <row r="59" spans="2:23" x14ac:dyDescent="0.2">
      <c r="B59" t="s">
        <v>9696</v>
      </c>
      <c r="C59" t="s">
        <v>9816</v>
      </c>
      <c r="D59" t="s">
        <v>3980</v>
      </c>
      <c r="E59" t="s">
        <v>9699</v>
      </c>
      <c r="F59" t="s">
        <v>9821</v>
      </c>
      <c r="G59" s="13" t="s">
        <v>9822</v>
      </c>
      <c r="H59" t="s">
        <v>9892</v>
      </c>
      <c r="I59" t="s">
        <v>9891</v>
      </c>
      <c r="J59" t="s">
        <v>9694</v>
      </c>
      <c r="K59" s="10">
        <v>18.170000000000002</v>
      </c>
      <c r="L59" s="10">
        <v>10.15</v>
      </c>
      <c r="M59" s="10">
        <v>3.87</v>
      </c>
      <c r="N59" s="10">
        <v>4.6399999999999997</v>
      </c>
      <c r="O59" s="10">
        <v>9.08</v>
      </c>
      <c r="P59" s="10">
        <v>21.05</v>
      </c>
      <c r="Q59" s="10">
        <v>75</v>
      </c>
      <c r="R59" s="10">
        <f t="shared" si="0"/>
        <v>67</v>
      </c>
      <c r="S59" s="10">
        <v>8</v>
      </c>
      <c r="T59" s="10">
        <v>72</v>
      </c>
      <c r="W59" s="14" t="s">
        <v>9906</v>
      </c>
    </row>
    <row r="60" spans="2:23" x14ac:dyDescent="0.2">
      <c r="B60" t="s">
        <v>9696</v>
      </c>
      <c r="C60" t="s">
        <v>9816</v>
      </c>
      <c r="D60" t="s">
        <v>3980</v>
      </c>
      <c r="E60" t="s">
        <v>9699</v>
      </c>
      <c r="F60" t="s">
        <v>9823</v>
      </c>
      <c r="G60" s="13" t="s">
        <v>9824</v>
      </c>
      <c r="H60" t="s">
        <v>9892</v>
      </c>
      <c r="I60" t="s">
        <v>9891</v>
      </c>
      <c r="J60" t="s">
        <v>9693</v>
      </c>
      <c r="K60" s="10">
        <v>16.329999999999998</v>
      </c>
      <c r="L60" s="10">
        <v>9.3699999999999992</v>
      </c>
      <c r="M60" s="10">
        <v>3.78</v>
      </c>
      <c r="N60" s="10">
        <v>4.8899999999999997</v>
      </c>
      <c r="O60" s="10">
        <v>9.5299999999999994</v>
      </c>
      <c r="P60" s="10">
        <v>21.4</v>
      </c>
      <c r="Q60" s="10">
        <v>70</v>
      </c>
      <c r="R60" s="10">
        <f t="shared" si="0"/>
        <v>64</v>
      </c>
      <c r="S60" s="10">
        <v>6</v>
      </c>
      <c r="T60" s="10">
        <v>67</v>
      </c>
      <c r="W60" s="14" t="s">
        <v>9906</v>
      </c>
    </row>
    <row r="61" spans="2:23" x14ac:dyDescent="0.2">
      <c r="B61" t="s">
        <v>9696</v>
      </c>
      <c r="C61" t="s">
        <v>9816</v>
      </c>
      <c r="D61" t="s">
        <v>3980</v>
      </c>
      <c r="E61" t="s">
        <v>9699</v>
      </c>
      <c r="F61" t="s">
        <v>9825</v>
      </c>
      <c r="G61" s="13" t="s">
        <v>9826</v>
      </c>
      <c r="H61" t="s">
        <v>9892</v>
      </c>
      <c r="I61" t="s">
        <v>9891</v>
      </c>
      <c r="J61" t="s">
        <v>9693</v>
      </c>
      <c r="K61" s="10">
        <v>16.96</v>
      </c>
      <c r="L61" s="10">
        <v>9.69</v>
      </c>
      <c r="M61" s="10">
        <v>4.55</v>
      </c>
      <c r="N61" s="10">
        <v>4.54</v>
      </c>
      <c r="O61" s="10">
        <v>9.99</v>
      </c>
      <c r="P61" s="10">
        <v>22.56</v>
      </c>
      <c r="Q61" s="10">
        <v>69</v>
      </c>
      <c r="R61" s="10">
        <f t="shared" si="0"/>
        <v>60</v>
      </c>
      <c r="S61" s="10">
        <v>9</v>
      </c>
      <c r="T61" s="10">
        <v>69</v>
      </c>
      <c r="W61" s="14" t="s">
        <v>9906</v>
      </c>
    </row>
    <row r="62" spans="2:23" x14ac:dyDescent="0.2">
      <c r="B62" t="s">
        <v>9696</v>
      </c>
      <c r="C62" t="s">
        <v>9816</v>
      </c>
      <c r="D62" t="s">
        <v>3980</v>
      </c>
      <c r="E62" t="s">
        <v>9699</v>
      </c>
      <c r="F62" t="s">
        <v>9827</v>
      </c>
      <c r="G62" s="13" t="s">
        <v>9828</v>
      </c>
      <c r="H62" t="s">
        <v>9892</v>
      </c>
      <c r="I62" t="s">
        <v>9891</v>
      </c>
      <c r="J62" t="s">
        <v>9693</v>
      </c>
      <c r="K62" s="10">
        <v>17.62</v>
      </c>
      <c r="L62" s="10">
        <v>9.64</v>
      </c>
      <c r="M62" s="10">
        <v>3.42</v>
      </c>
      <c r="N62" s="10">
        <v>4.62</v>
      </c>
      <c r="O62" s="10">
        <v>9.91</v>
      </c>
      <c r="P62" s="10">
        <v>21.85</v>
      </c>
      <c r="Q62" s="10">
        <v>72</v>
      </c>
      <c r="R62" s="10">
        <f t="shared" si="0"/>
        <v>66</v>
      </c>
      <c r="S62" s="10">
        <v>6</v>
      </c>
      <c r="T62" s="10">
        <v>67</v>
      </c>
      <c r="W62" s="14" t="s">
        <v>9906</v>
      </c>
    </row>
    <row r="63" spans="2:23" x14ac:dyDescent="0.2">
      <c r="B63" t="s">
        <v>9696</v>
      </c>
      <c r="C63" t="s">
        <v>9816</v>
      </c>
      <c r="D63" t="s">
        <v>3980</v>
      </c>
      <c r="E63" t="s">
        <v>9699</v>
      </c>
      <c r="F63" t="s">
        <v>9829</v>
      </c>
      <c r="G63" s="13" t="s">
        <v>9830</v>
      </c>
      <c r="H63" t="s">
        <v>9892</v>
      </c>
      <c r="I63" t="s">
        <v>9891</v>
      </c>
      <c r="J63" t="s">
        <v>9693</v>
      </c>
      <c r="K63" s="10">
        <v>15.92</v>
      </c>
      <c r="L63" s="10">
        <v>9.3699999999999992</v>
      </c>
      <c r="M63" s="10">
        <v>3.7</v>
      </c>
      <c r="N63" s="10">
        <v>4.3099999999999996</v>
      </c>
      <c r="O63" s="10">
        <v>10.23</v>
      </c>
      <c r="P63" s="10">
        <v>20.57</v>
      </c>
      <c r="Q63" s="10">
        <v>70</v>
      </c>
      <c r="R63" s="10">
        <f t="shared" si="0"/>
        <v>63</v>
      </c>
      <c r="S63" s="10">
        <v>7</v>
      </c>
      <c r="T63" s="10">
        <v>67</v>
      </c>
      <c r="W63" s="14" t="s">
        <v>9906</v>
      </c>
    </row>
    <row r="64" spans="2:23" x14ac:dyDescent="0.2">
      <c r="B64" t="s">
        <v>9696</v>
      </c>
      <c r="C64" t="s">
        <v>9816</v>
      </c>
      <c r="D64" t="s">
        <v>3980</v>
      </c>
      <c r="E64" t="s">
        <v>9699</v>
      </c>
      <c r="F64" t="s">
        <v>9831</v>
      </c>
      <c r="G64" s="13" t="s">
        <v>9828</v>
      </c>
      <c r="H64" t="s">
        <v>9892</v>
      </c>
      <c r="I64" t="s">
        <v>9891</v>
      </c>
      <c r="J64" t="s">
        <v>9694</v>
      </c>
      <c r="K64" s="10">
        <v>18.84</v>
      </c>
      <c r="L64" s="10">
        <v>10.31</v>
      </c>
      <c r="M64" s="10">
        <v>3.87</v>
      </c>
      <c r="N64" s="10">
        <v>5.08</v>
      </c>
      <c r="O64" s="10">
        <v>10.1</v>
      </c>
      <c r="P64" s="10">
        <v>22.45</v>
      </c>
      <c r="Q64" s="10">
        <v>75</v>
      </c>
      <c r="R64" s="10">
        <f t="shared" si="0"/>
        <v>69</v>
      </c>
      <c r="S64" s="10">
        <v>6</v>
      </c>
      <c r="T64" s="10">
        <v>86</v>
      </c>
      <c r="W64" s="14" t="s">
        <v>9906</v>
      </c>
    </row>
    <row r="65" spans="2:23" x14ac:dyDescent="0.2">
      <c r="B65" t="s">
        <v>9696</v>
      </c>
      <c r="C65" t="s">
        <v>9816</v>
      </c>
      <c r="D65" t="s">
        <v>3980</v>
      </c>
      <c r="E65" t="s">
        <v>9699</v>
      </c>
      <c r="F65" t="s">
        <v>9832</v>
      </c>
      <c r="G65" s="13" t="s">
        <v>9830</v>
      </c>
      <c r="H65" t="s">
        <v>9892</v>
      </c>
      <c r="I65" t="s">
        <v>9891</v>
      </c>
      <c r="J65" t="s">
        <v>9694</v>
      </c>
      <c r="K65" s="10">
        <v>18.09</v>
      </c>
      <c r="L65" s="10">
        <v>10.58</v>
      </c>
      <c r="M65" s="10">
        <v>4.55</v>
      </c>
      <c r="N65" s="10">
        <v>4.6100000000000003</v>
      </c>
      <c r="O65" s="10">
        <v>9.67</v>
      </c>
      <c r="P65" s="10">
        <v>21.44</v>
      </c>
      <c r="Q65" s="10">
        <v>82</v>
      </c>
      <c r="R65" s="10">
        <f t="shared" si="0"/>
        <v>73</v>
      </c>
      <c r="S65" s="10">
        <v>9</v>
      </c>
      <c r="T65" s="10">
        <v>81</v>
      </c>
      <c r="W65" s="14" t="s">
        <v>9906</v>
      </c>
    </row>
    <row r="66" spans="2:23" x14ac:dyDescent="0.2">
      <c r="B66" t="s">
        <v>9696</v>
      </c>
      <c r="C66" t="s">
        <v>9833</v>
      </c>
      <c r="D66" t="s">
        <v>9911</v>
      </c>
      <c r="E66" t="s">
        <v>9699</v>
      </c>
      <c r="F66" t="s">
        <v>9834</v>
      </c>
      <c r="G66" s="13" t="s">
        <v>9893</v>
      </c>
      <c r="H66" t="s">
        <v>9894</v>
      </c>
      <c r="I66" t="s">
        <v>9895</v>
      </c>
      <c r="J66" t="s">
        <v>9693</v>
      </c>
      <c r="K66" s="10">
        <v>18.29</v>
      </c>
      <c r="L66" s="10">
        <v>10.75</v>
      </c>
      <c r="M66" s="10">
        <v>3.87</v>
      </c>
      <c r="N66" s="10">
        <v>5.01</v>
      </c>
      <c r="O66" s="10">
        <v>10.53</v>
      </c>
      <c r="P66" s="10">
        <v>19.899999999999999</v>
      </c>
      <c r="Q66" s="10">
        <v>71</v>
      </c>
      <c r="R66" s="10">
        <f t="shared" si="0"/>
        <v>61</v>
      </c>
      <c r="S66" s="10">
        <v>10</v>
      </c>
      <c r="T66" s="10">
        <v>63</v>
      </c>
      <c r="W66" s="14" t="s">
        <v>9906</v>
      </c>
    </row>
    <row r="67" spans="2:23" x14ac:dyDescent="0.2">
      <c r="B67" t="s">
        <v>9696</v>
      </c>
      <c r="C67" t="s">
        <v>9833</v>
      </c>
      <c r="D67" t="s">
        <v>9911</v>
      </c>
      <c r="E67" t="s">
        <v>9699</v>
      </c>
      <c r="F67" t="s">
        <v>9835</v>
      </c>
      <c r="G67" s="13" t="s">
        <v>9893</v>
      </c>
      <c r="H67" t="s">
        <v>9894</v>
      </c>
      <c r="I67" t="s">
        <v>9895</v>
      </c>
      <c r="J67" t="s">
        <v>9693</v>
      </c>
      <c r="K67" s="10">
        <v>16.77</v>
      </c>
      <c r="L67" s="10">
        <v>9.51</v>
      </c>
      <c r="M67" s="10">
        <v>3.49</v>
      </c>
      <c r="N67" s="10">
        <v>4.45</v>
      </c>
      <c r="O67" s="10">
        <v>10.8</v>
      </c>
      <c r="P67" s="10">
        <v>21.1</v>
      </c>
      <c r="Q67" s="10">
        <v>69</v>
      </c>
      <c r="R67" s="10">
        <f t="shared" si="0"/>
        <v>60</v>
      </c>
      <c r="S67" s="10">
        <v>9</v>
      </c>
      <c r="T67" s="10">
        <v>64</v>
      </c>
      <c r="W67" s="14" t="s">
        <v>9906</v>
      </c>
    </row>
    <row r="68" spans="2:23" x14ac:dyDescent="0.2">
      <c r="B68" t="s">
        <v>9696</v>
      </c>
      <c r="C68" t="s">
        <v>9833</v>
      </c>
      <c r="D68" t="s">
        <v>9911</v>
      </c>
      <c r="E68" t="s">
        <v>9699</v>
      </c>
      <c r="F68" t="s">
        <v>9836</v>
      </c>
      <c r="G68" s="13" t="s">
        <v>9896</v>
      </c>
      <c r="H68" t="s">
        <v>9894</v>
      </c>
      <c r="I68" t="s">
        <v>9895</v>
      </c>
      <c r="J68" t="s">
        <v>9694</v>
      </c>
      <c r="K68" s="10">
        <v>19.940000000000001</v>
      </c>
      <c r="L68" s="10">
        <v>11.4</v>
      </c>
      <c r="M68" s="10">
        <v>4.3</v>
      </c>
      <c r="N68" s="10">
        <v>5.18</v>
      </c>
      <c r="O68" s="10">
        <v>11.88</v>
      </c>
      <c r="P68" s="10">
        <v>21.03</v>
      </c>
      <c r="Q68" s="10">
        <v>86</v>
      </c>
      <c r="R68" s="10">
        <f t="shared" si="0"/>
        <v>73</v>
      </c>
      <c r="S68" s="10">
        <v>13</v>
      </c>
      <c r="T68" s="10">
        <v>82</v>
      </c>
      <c r="W68" s="14" t="s">
        <v>9906</v>
      </c>
    </row>
    <row r="69" spans="2:23" x14ac:dyDescent="0.2">
      <c r="B69" t="s">
        <v>9696</v>
      </c>
      <c r="C69" t="s">
        <v>9833</v>
      </c>
      <c r="D69" t="s">
        <v>9911</v>
      </c>
      <c r="E69" t="s">
        <v>9699</v>
      </c>
      <c r="F69" t="s">
        <v>9837</v>
      </c>
      <c r="G69" s="13" t="s">
        <v>9897</v>
      </c>
      <c r="H69" t="s">
        <v>9894</v>
      </c>
      <c r="I69" t="s">
        <v>9895</v>
      </c>
      <c r="J69" t="s">
        <v>9694</v>
      </c>
      <c r="K69" s="10">
        <v>17.82</v>
      </c>
      <c r="L69" s="10">
        <v>10.4</v>
      </c>
      <c r="M69" s="10">
        <v>4.3099999999999996</v>
      </c>
      <c r="N69" s="10">
        <v>5</v>
      </c>
      <c r="O69" s="10">
        <v>11.57</v>
      </c>
      <c r="P69" s="10">
        <v>21.38</v>
      </c>
      <c r="Q69" s="10">
        <v>82</v>
      </c>
      <c r="R69" s="10">
        <f t="shared" si="0"/>
        <v>70</v>
      </c>
      <c r="S69" s="10">
        <v>12</v>
      </c>
      <c r="T69" s="10">
        <v>76</v>
      </c>
      <c r="W69" s="14" t="s">
        <v>9906</v>
      </c>
    </row>
    <row r="70" spans="2:23" x14ac:dyDescent="0.2">
      <c r="B70" t="s">
        <v>9696</v>
      </c>
      <c r="C70" t="s">
        <v>9833</v>
      </c>
      <c r="D70" t="s">
        <v>9911</v>
      </c>
      <c r="E70" t="s">
        <v>9699</v>
      </c>
      <c r="F70" t="s">
        <v>9838</v>
      </c>
      <c r="G70" s="13" t="s">
        <v>9898</v>
      </c>
      <c r="H70" t="s">
        <v>9894</v>
      </c>
      <c r="I70" t="s">
        <v>9895</v>
      </c>
      <c r="J70" t="s">
        <v>9693</v>
      </c>
      <c r="K70" s="10">
        <v>17.18</v>
      </c>
      <c r="L70" s="10">
        <v>9.9</v>
      </c>
      <c r="M70" s="10">
        <v>4.1500000000000004</v>
      </c>
      <c r="N70" s="10">
        <v>4.5199999999999996</v>
      </c>
      <c r="O70" s="10">
        <v>9.33</v>
      </c>
      <c r="P70" s="10">
        <v>20.91</v>
      </c>
      <c r="Q70" s="10">
        <v>72</v>
      </c>
      <c r="R70" s="10">
        <f t="shared" si="0"/>
        <v>61</v>
      </c>
      <c r="S70" s="10">
        <v>11</v>
      </c>
      <c r="T70" s="10">
        <v>67</v>
      </c>
      <c r="W70" s="14" t="s">
        <v>9906</v>
      </c>
    </row>
    <row r="71" spans="2:23" x14ac:dyDescent="0.2">
      <c r="B71" t="s">
        <v>9696</v>
      </c>
      <c r="C71" s="8" t="s">
        <v>9839</v>
      </c>
      <c r="D71" s="8" t="s">
        <v>9912</v>
      </c>
      <c r="E71" t="s">
        <v>9699</v>
      </c>
      <c r="F71" t="s">
        <v>9840</v>
      </c>
      <c r="G71" s="13"/>
      <c r="H71" t="s">
        <v>9899</v>
      </c>
      <c r="I71" t="s">
        <v>9900</v>
      </c>
      <c r="J71" t="s">
        <v>9693</v>
      </c>
      <c r="K71" s="10">
        <v>14.93</v>
      </c>
      <c r="L71" s="10">
        <v>7.77</v>
      </c>
      <c r="M71" s="10">
        <v>3.93</v>
      </c>
      <c r="N71" s="10">
        <v>4.24</v>
      </c>
      <c r="O71" s="10">
        <v>11.04</v>
      </c>
      <c r="P71" s="10">
        <v>19.72</v>
      </c>
      <c r="Q71" s="10">
        <v>82</v>
      </c>
      <c r="R71" s="10">
        <f t="shared" si="0"/>
        <v>74</v>
      </c>
      <c r="S71" s="10">
        <v>8</v>
      </c>
      <c r="T71" s="10">
        <v>81</v>
      </c>
      <c r="W71" s="14" t="s">
        <v>9906</v>
      </c>
    </row>
    <row r="72" spans="2:23" x14ac:dyDescent="0.2">
      <c r="B72" t="s">
        <v>9696</v>
      </c>
      <c r="C72" s="8" t="s">
        <v>9839</v>
      </c>
      <c r="D72" s="8" t="s">
        <v>9912</v>
      </c>
      <c r="E72" t="s">
        <v>9699</v>
      </c>
      <c r="F72" t="s">
        <v>9841</v>
      </c>
      <c r="G72" s="13" t="s">
        <v>9902</v>
      </c>
      <c r="H72" t="s">
        <v>9901</v>
      </c>
      <c r="I72" t="s">
        <v>9900</v>
      </c>
      <c r="J72" t="s">
        <v>9694</v>
      </c>
      <c r="K72" s="10">
        <v>16.649999999999999</v>
      </c>
      <c r="L72" s="10">
        <v>9.15</v>
      </c>
      <c r="M72" s="10">
        <v>3.69</v>
      </c>
      <c r="N72" s="10">
        <v>4.66</v>
      </c>
      <c r="O72" s="10">
        <v>13.08</v>
      </c>
      <c r="P72" s="10">
        <v>21.63</v>
      </c>
      <c r="Q72" s="10">
        <v>89</v>
      </c>
      <c r="R72" s="10">
        <f t="shared" si="0"/>
        <v>81</v>
      </c>
      <c r="S72" s="10">
        <v>8</v>
      </c>
      <c r="T72" s="10">
        <v>83</v>
      </c>
      <c r="W72" s="14" t="s">
        <v>9906</v>
      </c>
    </row>
    <row r="73" spans="2:23" x14ac:dyDescent="0.2">
      <c r="B73" t="s">
        <v>9696</v>
      </c>
      <c r="C73" s="8" t="s">
        <v>9842</v>
      </c>
      <c r="D73" s="8" t="s">
        <v>3870</v>
      </c>
      <c r="E73" t="s">
        <v>9699</v>
      </c>
      <c r="F73" t="s">
        <v>9844</v>
      </c>
      <c r="G73" s="13" t="s">
        <v>9843</v>
      </c>
      <c r="H73" t="s">
        <v>9903</v>
      </c>
      <c r="I73" t="s">
        <v>9904</v>
      </c>
      <c r="J73" t="s">
        <v>9694</v>
      </c>
      <c r="K73" s="10">
        <v>17.37</v>
      </c>
      <c r="L73" s="10">
        <v>9.07</v>
      </c>
      <c r="M73" s="10">
        <v>4.2</v>
      </c>
      <c r="N73" s="10">
        <v>4.72</v>
      </c>
      <c r="O73" s="10">
        <v>9.92</v>
      </c>
      <c r="P73" s="10">
        <v>21</v>
      </c>
      <c r="Q73" s="10">
        <v>82</v>
      </c>
      <c r="R73" s="10">
        <f t="shared" si="0"/>
        <v>68</v>
      </c>
      <c r="S73" s="10">
        <v>14</v>
      </c>
      <c r="T73" s="10">
        <v>78</v>
      </c>
      <c r="W73" s="14" t="s">
        <v>9906</v>
      </c>
    </row>
    <row r="74" spans="2:23" x14ac:dyDescent="0.2">
      <c r="B74" t="s">
        <v>9696</v>
      </c>
      <c r="C74" s="8" t="s">
        <v>9842</v>
      </c>
      <c r="D74" s="8" t="s">
        <v>3870</v>
      </c>
      <c r="E74" t="s">
        <v>9699</v>
      </c>
      <c r="F74" t="s">
        <v>9845</v>
      </c>
      <c r="G74" s="13" t="s">
        <v>9846</v>
      </c>
      <c r="H74" t="s">
        <v>9903</v>
      </c>
      <c r="I74" t="s">
        <v>9904</v>
      </c>
      <c r="J74" t="s">
        <v>9711</v>
      </c>
      <c r="K74" s="10">
        <v>17.12</v>
      </c>
      <c r="L74" s="10">
        <v>9.82</v>
      </c>
      <c r="M74" s="10">
        <v>4.1500000000000004</v>
      </c>
      <c r="N74" s="10">
        <v>5.19</v>
      </c>
      <c r="O74" s="10">
        <v>10.06</v>
      </c>
      <c r="P74" s="10">
        <v>20.76</v>
      </c>
      <c r="Q74" s="10">
        <v>84</v>
      </c>
      <c r="R74" s="10">
        <f t="shared" si="0"/>
        <v>69</v>
      </c>
      <c r="S74" s="10">
        <v>15</v>
      </c>
      <c r="T74" s="10">
        <v>78</v>
      </c>
      <c r="W74" s="14" t="s">
        <v>9906</v>
      </c>
    </row>
    <row r="75" spans="2:23" x14ac:dyDescent="0.2">
      <c r="B75" t="s">
        <v>9696</v>
      </c>
      <c r="C75" s="8" t="s">
        <v>9842</v>
      </c>
      <c r="D75" s="8" t="s">
        <v>3870</v>
      </c>
      <c r="E75" t="s">
        <v>9699</v>
      </c>
      <c r="F75" t="s">
        <v>9847</v>
      </c>
      <c r="G75" s="13" t="s">
        <v>9848</v>
      </c>
      <c r="H75" t="s">
        <v>9903</v>
      </c>
      <c r="I75" t="s">
        <v>9904</v>
      </c>
      <c r="J75" t="s">
        <v>9711</v>
      </c>
      <c r="K75" s="10">
        <v>16.21</v>
      </c>
      <c r="L75" s="10">
        <v>9.42</v>
      </c>
      <c r="M75" s="10">
        <v>4.79</v>
      </c>
      <c r="N75" s="10">
        <v>5.08</v>
      </c>
      <c r="O75" s="10">
        <v>9.23</v>
      </c>
      <c r="P75" s="10">
        <v>20.58</v>
      </c>
      <c r="Q75" s="10">
        <v>79</v>
      </c>
      <c r="R75" s="10">
        <f t="shared" si="0"/>
        <v>68</v>
      </c>
      <c r="S75" s="10">
        <v>11</v>
      </c>
      <c r="T75" s="10">
        <v>77</v>
      </c>
      <c r="W75" s="14" t="s">
        <v>9906</v>
      </c>
    </row>
    <row r="76" spans="2:23" x14ac:dyDescent="0.2">
      <c r="B76" t="s">
        <v>9696</v>
      </c>
      <c r="C76" s="8" t="s">
        <v>9842</v>
      </c>
      <c r="D76" s="8" t="s">
        <v>3870</v>
      </c>
      <c r="E76" t="s">
        <v>9699</v>
      </c>
      <c r="F76" t="s">
        <v>9849</v>
      </c>
      <c r="G76" s="13" t="s">
        <v>9846</v>
      </c>
      <c r="H76" t="s">
        <v>9903</v>
      </c>
      <c r="I76" t="s">
        <v>9904</v>
      </c>
      <c r="J76" t="s">
        <v>9711</v>
      </c>
      <c r="K76" s="10">
        <v>18.38</v>
      </c>
      <c r="L76" s="10">
        <v>9.9499999999999993</v>
      </c>
      <c r="M76" s="10">
        <v>4.74</v>
      </c>
      <c r="N76" s="10">
        <v>5.4</v>
      </c>
      <c r="O76" s="10">
        <v>9.8800000000000008</v>
      </c>
      <c r="P76" s="10">
        <v>20.91</v>
      </c>
      <c r="Q76" s="10">
        <v>79</v>
      </c>
      <c r="R76" s="10">
        <f t="shared" si="0"/>
        <v>65</v>
      </c>
      <c r="S76" s="10">
        <v>14</v>
      </c>
      <c r="T76" s="10">
        <v>79</v>
      </c>
      <c r="W76" s="14" t="s">
        <v>9906</v>
      </c>
    </row>
    <row r="77" spans="2:23" x14ac:dyDescent="0.2">
      <c r="B77" t="s">
        <v>9696</v>
      </c>
      <c r="C77" s="8" t="s">
        <v>9842</v>
      </c>
      <c r="D77" s="8" t="s">
        <v>3870</v>
      </c>
      <c r="E77" t="s">
        <v>9699</v>
      </c>
      <c r="F77" t="s">
        <v>9850</v>
      </c>
      <c r="G77" s="13" t="s">
        <v>9851</v>
      </c>
      <c r="H77" t="s">
        <v>9903</v>
      </c>
      <c r="I77" t="s">
        <v>9904</v>
      </c>
      <c r="J77" t="s">
        <v>9693</v>
      </c>
      <c r="K77" s="10">
        <v>17.010000000000002</v>
      </c>
      <c r="L77" s="10">
        <v>9.24</v>
      </c>
      <c r="M77" s="10">
        <v>4.4400000000000004</v>
      </c>
      <c r="N77" s="10">
        <v>5.13</v>
      </c>
      <c r="O77" s="10">
        <v>10</v>
      </c>
      <c r="P77" s="10">
        <v>21.24</v>
      </c>
      <c r="Q77" s="10">
        <v>71</v>
      </c>
      <c r="R77" s="10">
        <f t="shared" si="0"/>
        <v>56</v>
      </c>
      <c r="S77" s="10">
        <v>15</v>
      </c>
      <c r="T77" s="10">
        <v>70</v>
      </c>
      <c r="W77" s="14" t="s">
        <v>9906</v>
      </c>
    </row>
    <row r="78" spans="2:23" x14ac:dyDescent="0.2">
      <c r="B78" t="s">
        <v>9696</v>
      </c>
      <c r="C78" s="8" t="s">
        <v>9842</v>
      </c>
      <c r="D78" s="8" t="s">
        <v>3870</v>
      </c>
      <c r="E78" t="s">
        <v>9699</v>
      </c>
      <c r="F78" t="s">
        <v>9852</v>
      </c>
      <c r="G78" s="13" t="s">
        <v>9848</v>
      </c>
      <c r="H78" t="s">
        <v>9903</v>
      </c>
      <c r="I78" t="s">
        <v>9904</v>
      </c>
      <c r="J78" t="s">
        <v>9711</v>
      </c>
      <c r="K78" s="10">
        <v>17.28</v>
      </c>
      <c r="L78" s="10">
        <v>9.5299999999999994</v>
      </c>
      <c r="M78" s="10">
        <v>4.21</v>
      </c>
      <c r="N78" s="10">
        <v>5.12</v>
      </c>
      <c r="O78" s="10">
        <v>9.6300000000000008</v>
      </c>
      <c r="P78" s="10">
        <v>21.78</v>
      </c>
      <c r="Q78" s="10">
        <v>80</v>
      </c>
      <c r="R78" s="10">
        <f t="shared" si="0"/>
        <v>70</v>
      </c>
      <c r="S78" s="10">
        <v>10</v>
      </c>
      <c r="T78" s="10">
        <v>75</v>
      </c>
      <c r="W78" s="14" t="s">
        <v>9906</v>
      </c>
    </row>
    <row r="79" spans="2:23" x14ac:dyDescent="0.2">
      <c r="B79" t="s">
        <v>9696</v>
      </c>
      <c r="C79" s="8" t="s">
        <v>9842</v>
      </c>
      <c r="D79" s="8" t="s">
        <v>3870</v>
      </c>
      <c r="E79" t="s">
        <v>9699</v>
      </c>
      <c r="F79" t="s">
        <v>9853</v>
      </c>
      <c r="G79" s="13" t="s">
        <v>9854</v>
      </c>
      <c r="H79" t="s">
        <v>9905</v>
      </c>
      <c r="I79" t="s">
        <v>9904</v>
      </c>
      <c r="J79" t="s">
        <v>9693</v>
      </c>
      <c r="K79" s="10">
        <v>16.28</v>
      </c>
      <c r="L79" s="10">
        <v>9.2100000000000009</v>
      </c>
      <c r="M79" s="10">
        <v>4.3499999999999996</v>
      </c>
      <c r="N79" s="10">
        <v>5.12</v>
      </c>
      <c r="O79" s="10">
        <v>10.82</v>
      </c>
      <c r="P79" s="10">
        <v>22.7</v>
      </c>
      <c r="Q79" s="10">
        <v>84</v>
      </c>
      <c r="R79" s="10">
        <f t="shared" si="0"/>
        <v>70</v>
      </c>
      <c r="S79" s="10">
        <v>14</v>
      </c>
      <c r="T79" s="10">
        <v>75</v>
      </c>
      <c r="W79" s="14" t="s">
        <v>9906</v>
      </c>
    </row>
    <row r="80" spans="2:23" x14ac:dyDescent="0.2">
      <c r="B80" t="s">
        <v>9696</v>
      </c>
      <c r="C80" s="8" t="s">
        <v>9842</v>
      </c>
      <c r="D80" s="8" t="s">
        <v>3870</v>
      </c>
      <c r="E80" t="s">
        <v>9699</v>
      </c>
      <c r="F80" t="s">
        <v>9855</v>
      </c>
      <c r="G80" s="13" t="s">
        <v>9856</v>
      </c>
      <c r="H80" t="s">
        <v>9905</v>
      </c>
      <c r="I80" t="s">
        <v>9904</v>
      </c>
      <c r="J80" t="s">
        <v>9694</v>
      </c>
      <c r="K80" s="10">
        <v>17.55</v>
      </c>
      <c r="L80" s="10">
        <v>9.74</v>
      </c>
      <c r="M80" s="10">
        <v>4.04</v>
      </c>
      <c r="N80" s="10">
        <v>5.71</v>
      </c>
      <c r="O80" s="10">
        <v>11.53</v>
      </c>
      <c r="P80" s="10">
        <v>19.09</v>
      </c>
      <c r="Q80" s="10">
        <v>85</v>
      </c>
      <c r="R80" s="10">
        <f t="shared" si="0"/>
        <v>68</v>
      </c>
      <c r="S80" s="10">
        <v>17</v>
      </c>
      <c r="T80" s="10">
        <v>77</v>
      </c>
      <c r="W80" s="14" t="s">
        <v>9906</v>
      </c>
    </row>
    <row r="81" spans="7:7" x14ac:dyDescent="0.2">
      <c r="G81" s="13"/>
    </row>
    <row r="82" spans="7:7" x14ac:dyDescent="0.2">
      <c r="G82" s="13"/>
    </row>
    <row r="83" spans="7:7" x14ac:dyDescent="0.2">
      <c r="G83" s="13"/>
    </row>
    <row r="84" spans="7:7" x14ac:dyDescent="0.2">
      <c r="G84" s="13"/>
    </row>
    <row r="85" spans="7:7" x14ac:dyDescent="0.2">
      <c r="G85" s="13"/>
    </row>
    <row r="86" spans="7:7" x14ac:dyDescent="0.2">
      <c r="G86" s="13"/>
    </row>
    <row r="87" spans="7:7" x14ac:dyDescent="0.2">
      <c r="G87" s="13"/>
    </row>
    <row r="88" spans="7:7" x14ac:dyDescent="0.2">
      <c r="G88" s="13"/>
    </row>
    <row r="89" spans="7:7" x14ac:dyDescent="0.2">
      <c r="G89" s="13"/>
    </row>
    <row r="90" spans="7:7" x14ac:dyDescent="0.2">
      <c r="G90" s="13"/>
    </row>
    <row r="91" spans="7:7" x14ac:dyDescent="0.2">
      <c r="G91" s="13"/>
    </row>
    <row r="92" spans="7:7" x14ac:dyDescent="0.2">
      <c r="G92" s="13"/>
    </row>
    <row r="93" spans="7:7" x14ac:dyDescent="0.2">
      <c r="G93" s="13"/>
    </row>
    <row r="94" spans="7:7" x14ac:dyDescent="0.2">
      <c r="G94" s="13"/>
    </row>
    <row r="95" spans="7:7" x14ac:dyDescent="0.2">
      <c r="G95" s="13"/>
    </row>
    <row r="96" spans="7:7" x14ac:dyDescent="0.2">
      <c r="G96" s="13"/>
    </row>
    <row r="97" spans="7:7" x14ac:dyDescent="0.2">
      <c r="G97" s="13"/>
    </row>
    <row r="98" spans="7:7" x14ac:dyDescent="0.2">
      <c r="G98" s="13"/>
    </row>
    <row r="99" spans="7:7" x14ac:dyDescent="0.2">
      <c r="G99" s="13"/>
    </row>
    <row r="100" spans="7:7" x14ac:dyDescent="0.2">
      <c r="G100" s="13"/>
    </row>
    <row r="101" spans="7:7" x14ac:dyDescent="0.2">
      <c r="G101" s="13"/>
    </row>
    <row r="102" spans="7:7" x14ac:dyDescent="0.2">
      <c r="G102" s="13"/>
    </row>
    <row r="103" spans="7:7" x14ac:dyDescent="0.2">
      <c r="G103" s="13"/>
    </row>
    <row r="104" spans="7:7" x14ac:dyDescent="0.2">
      <c r="G104" s="13"/>
    </row>
    <row r="105" spans="7:7" x14ac:dyDescent="0.2">
      <c r="G105" s="13"/>
    </row>
    <row r="106" spans="7:7" x14ac:dyDescent="0.2">
      <c r="G106" s="13"/>
    </row>
    <row r="107" spans="7:7" x14ac:dyDescent="0.2">
      <c r="G107" s="13"/>
    </row>
    <row r="108" spans="7:7" x14ac:dyDescent="0.2">
      <c r="G108" s="13"/>
    </row>
    <row r="109" spans="7:7" x14ac:dyDescent="0.2">
      <c r="G109" s="13"/>
    </row>
    <row r="110" spans="7:7" x14ac:dyDescent="0.2">
      <c r="G110" s="13"/>
    </row>
    <row r="111" spans="7:7" x14ac:dyDescent="0.2">
      <c r="G111" s="13"/>
    </row>
    <row r="112" spans="7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  <row r="375" spans="7:7" x14ac:dyDescent="0.2">
      <c r="G375" s="13"/>
    </row>
    <row r="376" spans="7:7" x14ac:dyDescent="0.2">
      <c r="G376" s="13"/>
    </row>
    <row r="377" spans="7:7" x14ac:dyDescent="0.2">
      <c r="G377" s="13"/>
    </row>
    <row r="378" spans="7:7" x14ac:dyDescent="0.2">
      <c r="G378" s="13"/>
    </row>
    <row r="379" spans="7:7" x14ac:dyDescent="0.2">
      <c r="G379" s="13"/>
    </row>
    <row r="380" spans="7:7" x14ac:dyDescent="0.2">
      <c r="G380" s="13"/>
    </row>
    <row r="381" spans="7:7" x14ac:dyDescent="0.2">
      <c r="G381" s="13"/>
    </row>
    <row r="382" spans="7:7" x14ac:dyDescent="0.2">
      <c r="G382" s="13"/>
    </row>
    <row r="383" spans="7:7" x14ac:dyDescent="0.2">
      <c r="G383" s="13"/>
    </row>
    <row r="384" spans="7:7" x14ac:dyDescent="0.2">
      <c r="G384" s="13"/>
    </row>
    <row r="385" spans="7:7" x14ac:dyDescent="0.2">
      <c r="G385" s="13"/>
    </row>
    <row r="386" spans="7:7" x14ac:dyDescent="0.2">
      <c r="G386" s="13"/>
    </row>
    <row r="387" spans="7:7" x14ac:dyDescent="0.2">
      <c r="G387" s="13"/>
    </row>
    <row r="388" spans="7:7" x14ac:dyDescent="0.2">
      <c r="G388" s="13"/>
    </row>
    <row r="389" spans="7:7" x14ac:dyDescent="0.2">
      <c r="G389" s="13"/>
    </row>
    <row r="390" spans="7:7" x14ac:dyDescent="0.2">
      <c r="G390" s="13"/>
    </row>
    <row r="391" spans="7:7" x14ac:dyDescent="0.2">
      <c r="G391" s="13"/>
    </row>
    <row r="392" spans="7:7" x14ac:dyDescent="0.2">
      <c r="G392" s="13"/>
    </row>
    <row r="393" spans="7:7" x14ac:dyDescent="0.2">
      <c r="G393" s="13"/>
    </row>
    <row r="394" spans="7:7" x14ac:dyDescent="0.2">
      <c r="G394" s="13"/>
    </row>
    <row r="395" spans="7:7" x14ac:dyDescent="0.2">
      <c r="G395" s="13"/>
    </row>
    <row r="396" spans="7:7" x14ac:dyDescent="0.2">
      <c r="G396" s="13"/>
    </row>
    <row r="397" spans="7:7" x14ac:dyDescent="0.2">
      <c r="G397" s="13"/>
    </row>
    <row r="398" spans="7:7" x14ac:dyDescent="0.2">
      <c r="G398" s="13"/>
    </row>
    <row r="399" spans="7:7" x14ac:dyDescent="0.2">
      <c r="G399" s="13"/>
    </row>
    <row r="400" spans="7:7" x14ac:dyDescent="0.2">
      <c r="G400" s="13"/>
    </row>
    <row r="401" spans="7:7" x14ac:dyDescent="0.2">
      <c r="G401" s="13"/>
    </row>
    <row r="402" spans="7:7" x14ac:dyDescent="0.2">
      <c r="G402" s="13"/>
    </row>
    <row r="403" spans="7:7" x14ac:dyDescent="0.2">
      <c r="G403" s="13"/>
    </row>
    <row r="404" spans="7:7" x14ac:dyDescent="0.2">
      <c r="G404" s="13"/>
    </row>
    <row r="405" spans="7:7" x14ac:dyDescent="0.2">
      <c r="G405" s="13"/>
    </row>
    <row r="406" spans="7:7" x14ac:dyDescent="0.2">
      <c r="G406" s="13"/>
    </row>
    <row r="407" spans="7:7" x14ac:dyDescent="0.2">
      <c r="G407" s="13"/>
    </row>
    <row r="408" spans="7:7" x14ac:dyDescent="0.2">
      <c r="G408" s="13"/>
    </row>
    <row r="409" spans="7:7" x14ac:dyDescent="0.2">
      <c r="G409" s="13"/>
    </row>
    <row r="410" spans="7:7" x14ac:dyDescent="0.2">
      <c r="G410" s="13"/>
    </row>
    <row r="411" spans="7:7" x14ac:dyDescent="0.2">
      <c r="G411" s="13"/>
    </row>
    <row r="412" spans="7:7" x14ac:dyDescent="0.2">
      <c r="G412" s="13"/>
    </row>
    <row r="413" spans="7:7" x14ac:dyDescent="0.2">
      <c r="G413" s="13"/>
    </row>
    <row r="414" spans="7:7" x14ac:dyDescent="0.2">
      <c r="G414" s="13"/>
    </row>
    <row r="415" spans="7:7" x14ac:dyDescent="0.2">
      <c r="G415" s="13"/>
    </row>
    <row r="416" spans="7:7" x14ac:dyDescent="0.2">
      <c r="G416" s="13"/>
    </row>
    <row r="417" spans="7:7" x14ac:dyDescent="0.2">
      <c r="G417" s="13"/>
    </row>
    <row r="418" spans="7:7" x14ac:dyDescent="0.2">
      <c r="G418" s="13"/>
    </row>
    <row r="419" spans="7:7" x14ac:dyDescent="0.2">
      <c r="G419" s="13"/>
    </row>
    <row r="420" spans="7:7" x14ac:dyDescent="0.2">
      <c r="G420" s="13"/>
    </row>
    <row r="421" spans="7:7" x14ac:dyDescent="0.2">
      <c r="G421" s="13"/>
    </row>
    <row r="422" spans="7:7" x14ac:dyDescent="0.2">
      <c r="G422" s="13"/>
    </row>
    <row r="423" spans="7:7" x14ac:dyDescent="0.2">
      <c r="G423" s="13"/>
    </row>
    <row r="424" spans="7:7" x14ac:dyDescent="0.2">
      <c r="G424" s="13"/>
    </row>
    <row r="425" spans="7:7" x14ac:dyDescent="0.2">
      <c r="G425" s="13"/>
    </row>
    <row r="426" spans="7:7" x14ac:dyDescent="0.2">
      <c r="G426" s="13"/>
    </row>
    <row r="427" spans="7:7" x14ac:dyDescent="0.2">
      <c r="G427" s="13"/>
    </row>
    <row r="428" spans="7:7" x14ac:dyDescent="0.2">
      <c r="G428" s="13"/>
    </row>
    <row r="429" spans="7:7" x14ac:dyDescent="0.2">
      <c r="G429" s="13"/>
    </row>
    <row r="430" spans="7:7" x14ac:dyDescent="0.2">
      <c r="G430" s="13"/>
    </row>
    <row r="431" spans="7:7" x14ac:dyDescent="0.2">
      <c r="G431" s="13"/>
    </row>
    <row r="432" spans="7:7" x14ac:dyDescent="0.2">
      <c r="G432" s="13"/>
    </row>
    <row r="433" spans="7:7" x14ac:dyDescent="0.2">
      <c r="G433" s="13"/>
    </row>
    <row r="434" spans="7:7" x14ac:dyDescent="0.2">
      <c r="G434" s="13"/>
    </row>
    <row r="435" spans="7:7" x14ac:dyDescent="0.2">
      <c r="G435" s="13"/>
    </row>
    <row r="436" spans="7:7" x14ac:dyDescent="0.2">
      <c r="G436" s="13"/>
    </row>
    <row r="437" spans="7:7" x14ac:dyDescent="0.2">
      <c r="G437" s="13"/>
    </row>
    <row r="438" spans="7:7" x14ac:dyDescent="0.2">
      <c r="G438" s="13"/>
    </row>
    <row r="439" spans="7:7" x14ac:dyDescent="0.2">
      <c r="G439" s="13"/>
    </row>
    <row r="440" spans="7:7" x14ac:dyDescent="0.2">
      <c r="G440" s="13"/>
    </row>
    <row r="441" spans="7:7" x14ac:dyDescent="0.2">
      <c r="G441" s="13"/>
    </row>
    <row r="442" spans="7:7" x14ac:dyDescent="0.2">
      <c r="G442" s="13"/>
    </row>
    <row r="443" spans="7:7" x14ac:dyDescent="0.2">
      <c r="G443" s="13"/>
    </row>
    <row r="444" spans="7:7" x14ac:dyDescent="0.2">
      <c r="G444" s="13"/>
    </row>
    <row r="445" spans="7:7" x14ac:dyDescent="0.2">
      <c r="G445" s="13"/>
    </row>
    <row r="446" spans="7:7" x14ac:dyDescent="0.2">
      <c r="G446" s="13"/>
    </row>
    <row r="447" spans="7:7" x14ac:dyDescent="0.2">
      <c r="G447" s="13"/>
    </row>
    <row r="448" spans="7:7" x14ac:dyDescent="0.2">
      <c r="G448" s="13"/>
    </row>
    <row r="449" spans="7:7" x14ac:dyDescent="0.2">
      <c r="G449" s="13"/>
    </row>
    <row r="450" spans="7:7" x14ac:dyDescent="0.2">
      <c r="G450" s="13"/>
    </row>
    <row r="451" spans="7:7" x14ac:dyDescent="0.2">
      <c r="G451" s="13"/>
    </row>
    <row r="452" spans="7:7" x14ac:dyDescent="0.2">
      <c r="G452" s="13"/>
    </row>
    <row r="453" spans="7:7" x14ac:dyDescent="0.2">
      <c r="G453" s="13"/>
    </row>
    <row r="454" spans="7:7" x14ac:dyDescent="0.2">
      <c r="G454" s="13"/>
    </row>
    <row r="455" spans="7:7" x14ac:dyDescent="0.2">
      <c r="G455" s="13"/>
    </row>
    <row r="456" spans="7:7" x14ac:dyDescent="0.2">
      <c r="G456" s="13"/>
    </row>
    <row r="457" spans="7:7" x14ac:dyDescent="0.2">
      <c r="G457" s="13"/>
    </row>
    <row r="458" spans="7:7" x14ac:dyDescent="0.2">
      <c r="G458" s="13"/>
    </row>
    <row r="459" spans="7:7" x14ac:dyDescent="0.2">
      <c r="G459" s="13"/>
    </row>
    <row r="460" spans="7:7" x14ac:dyDescent="0.2">
      <c r="G460" s="13"/>
    </row>
    <row r="461" spans="7:7" x14ac:dyDescent="0.2">
      <c r="G461" s="13"/>
    </row>
    <row r="462" spans="7:7" x14ac:dyDescent="0.2">
      <c r="G462" s="13"/>
    </row>
    <row r="463" spans="7:7" x14ac:dyDescent="0.2">
      <c r="G463" s="13"/>
    </row>
    <row r="464" spans="7:7" x14ac:dyDescent="0.2">
      <c r="G464" s="13"/>
    </row>
    <row r="465" spans="7:7" x14ac:dyDescent="0.2">
      <c r="G465" s="13"/>
    </row>
    <row r="466" spans="7:7" x14ac:dyDescent="0.2">
      <c r="G466" s="13"/>
    </row>
    <row r="467" spans="7:7" x14ac:dyDescent="0.2">
      <c r="G467" s="13"/>
    </row>
    <row r="468" spans="7:7" x14ac:dyDescent="0.2">
      <c r="G468" s="13"/>
    </row>
    <row r="469" spans="7:7" x14ac:dyDescent="0.2">
      <c r="G469" s="13"/>
    </row>
    <row r="470" spans="7:7" x14ac:dyDescent="0.2">
      <c r="G470" s="13"/>
    </row>
    <row r="471" spans="7:7" x14ac:dyDescent="0.2">
      <c r="G471" s="13"/>
    </row>
    <row r="472" spans="7:7" x14ac:dyDescent="0.2">
      <c r="G472" s="13"/>
    </row>
    <row r="473" spans="7:7" x14ac:dyDescent="0.2">
      <c r="G473" s="13"/>
    </row>
    <row r="474" spans="7:7" x14ac:dyDescent="0.2">
      <c r="G474" s="13"/>
    </row>
    <row r="475" spans="7:7" x14ac:dyDescent="0.2">
      <c r="G475" s="13"/>
    </row>
    <row r="476" spans="7:7" x14ac:dyDescent="0.2">
      <c r="G476" s="13"/>
    </row>
    <row r="477" spans="7:7" x14ac:dyDescent="0.2">
      <c r="G477" s="13"/>
    </row>
    <row r="478" spans="7:7" x14ac:dyDescent="0.2">
      <c r="G478" s="13"/>
    </row>
    <row r="479" spans="7:7" x14ac:dyDescent="0.2">
      <c r="G479" s="13"/>
    </row>
    <row r="480" spans="7:7" x14ac:dyDescent="0.2">
      <c r="G480" s="13"/>
    </row>
    <row r="481" spans="7:7" x14ac:dyDescent="0.2">
      <c r="G481" s="13"/>
    </row>
    <row r="482" spans="7:7" x14ac:dyDescent="0.2">
      <c r="G482" s="13"/>
    </row>
    <row r="483" spans="7:7" x14ac:dyDescent="0.2">
      <c r="G483" s="13"/>
    </row>
    <row r="484" spans="7:7" x14ac:dyDescent="0.2">
      <c r="G484" s="13"/>
    </row>
    <row r="485" spans="7:7" x14ac:dyDescent="0.2">
      <c r="G485" s="13"/>
    </row>
    <row r="486" spans="7:7" x14ac:dyDescent="0.2">
      <c r="G486" s="13"/>
    </row>
    <row r="487" spans="7:7" x14ac:dyDescent="0.2">
      <c r="G487" s="13"/>
    </row>
    <row r="488" spans="7:7" x14ac:dyDescent="0.2">
      <c r="G488" s="13"/>
    </row>
    <row r="489" spans="7:7" x14ac:dyDescent="0.2">
      <c r="G489" s="13"/>
    </row>
    <row r="490" spans="7:7" x14ac:dyDescent="0.2">
      <c r="G490" s="13"/>
    </row>
    <row r="491" spans="7:7" x14ac:dyDescent="0.2">
      <c r="G491" s="13"/>
    </row>
    <row r="492" spans="7:7" x14ac:dyDescent="0.2">
      <c r="G492" s="13"/>
    </row>
    <row r="493" spans="7:7" x14ac:dyDescent="0.2">
      <c r="G493" s="13"/>
    </row>
    <row r="494" spans="7:7" x14ac:dyDescent="0.2">
      <c r="G494" s="13"/>
    </row>
    <row r="495" spans="7:7" x14ac:dyDescent="0.2">
      <c r="G495" s="13"/>
    </row>
    <row r="496" spans="7:7" x14ac:dyDescent="0.2">
      <c r="G496" s="13"/>
    </row>
    <row r="497" spans="7:7" x14ac:dyDescent="0.2">
      <c r="G497" s="13"/>
    </row>
    <row r="498" spans="7:7" x14ac:dyDescent="0.2">
      <c r="G498" s="13"/>
    </row>
    <row r="499" spans="7:7" x14ac:dyDescent="0.2">
      <c r="G499" s="13"/>
    </row>
    <row r="500" spans="7:7" x14ac:dyDescent="0.2">
      <c r="G500" s="13"/>
    </row>
    <row r="501" spans="7:7" x14ac:dyDescent="0.2">
      <c r="G501" s="13"/>
    </row>
    <row r="502" spans="7:7" x14ac:dyDescent="0.2">
      <c r="G502" s="13"/>
    </row>
    <row r="503" spans="7:7" x14ac:dyDescent="0.2">
      <c r="G503" s="13"/>
    </row>
    <row r="504" spans="7:7" x14ac:dyDescent="0.2">
      <c r="G504" s="13"/>
    </row>
    <row r="505" spans="7:7" x14ac:dyDescent="0.2">
      <c r="G505" s="13"/>
    </row>
    <row r="506" spans="7:7" x14ac:dyDescent="0.2">
      <c r="G506" s="13"/>
    </row>
    <row r="507" spans="7:7" x14ac:dyDescent="0.2">
      <c r="G507" s="13"/>
    </row>
    <row r="508" spans="7:7" x14ac:dyDescent="0.2">
      <c r="G508" s="13"/>
    </row>
    <row r="509" spans="7:7" x14ac:dyDescent="0.2">
      <c r="G509" s="13"/>
    </row>
    <row r="510" spans="7:7" x14ac:dyDescent="0.2">
      <c r="G510" s="13"/>
    </row>
    <row r="511" spans="7:7" x14ac:dyDescent="0.2">
      <c r="G511" s="13"/>
    </row>
    <row r="512" spans="7:7" x14ac:dyDescent="0.2">
      <c r="G512" s="13"/>
    </row>
    <row r="513" spans="7:7" x14ac:dyDescent="0.2">
      <c r="G513" s="13"/>
    </row>
    <row r="514" spans="7:7" x14ac:dyDescent="0.2">
      <c r="G514" s="13"/>
    </row>
    <row r="515" spans="7:7" x14ac:dyDescent="0.2">
      <c r="G515" s="13"/>
    </row>
    <row r="516" spans="7:7" x14ac:dyDescent="0.2">
      <c r="G516" s="13"/>
    </row>
    <row r="517" spans="7:7" x14ac:dyDescent="0.2">
      <c r="G517" s="13"/>
    </row>
    <row r="518" spans="7:7" x14ac:dyDescent="0.2">
      <c r="G518" s="13"/>
    </row>
    <row r="519" spans="7:7" x14ac:dyDescent="0.2">
      <c r="G519" s="13"/>
    </row>
    <row r="520" spans="7:7" x14ac:dyDescent="0.2">
      <c r="G520" s="13"/>
    </row>
    <row r="521" spans="7:7" x14ac:dyDescent="0.2">
      <c r="G521" s="13"/>
    </row>
    <row r="522" spans="7:7" x14ac:dyDescent="0.2">
      <c r="G522" s="13"/>
    </row>
    <row r="523" spans="7:7" x14ac:dyDescent="0.2">
      <c r="G523" s="13"/>
    </row>
    <row r="524" spans="7:7" x14ac:dyDescent="0.2">
      <c r="G524" s="13"/>
    </row>
    <row r="525" spans="7:7" x14ac:dyDescent="0.2">
      <c r="G525" s="13"/>
    </row>
    <row r="526" spans="7:7" x14ac:dyDescent="0.2">
      <c r="G526" s="13"/>
    </row>
    <row r="527" spans="7:7" x14ac:dyDescent="0.2">
      <c r="G527" s="13"/>
    </row>
    <row r="528" spans="7:7" x14ac:dyDescent="0.2">
      <c r="G528" s="13"/>
    </row>
    <row r="529" spans="7:7" x14ac:dyDescent="0.2">
      <c r="G529" s="13"/>
    </row>
    <row r="530" spans="7:7" x14ac:dyDescent="0.2">
      <c r="G530" s="13"/>
    </row>
    <row r="531" spans="7:7" x14ac:dyDescent="0.2">
      <c r="G531" s="13"/>
    </row>
    <row r="532" spans="7:7" x14ac:dyDescent="0.2">
      <c r="G532" s="13"/>
    </row>
    <row r="533" spans="7:7" x14ac:dyDescent="0.2">
      <c r="G533" s="13"/>
    </row>
    <row r="534" spans="7:7" x14ac:dyDescent="0.2">
      <c r="G534" s="13"/>
    </row>
    <row r="535" spans="7:7" x14ac:dyDescent="0.2">
      <c r="G535" s="13"/>
    </row>
    <row r="536" spans="7:7" x14ac:dyDescent="0.2">
      <c r="G536" s="13"/>
    </row>
    <row r="537" spans="7:7" x14ac:dyDescent="0.2">
      <c r="G537" s="13"/>
    </row>
    <row r="538" spans="7:7" x14ac:dyDescent="0.2">
      <c r="G538" s="13"/>
    </row>
    <row r="539" spans="7:7" x14ac:dyDescent="0.2">
      <c r="G539" s="13"/>
    </row>
    <row r="540" spans="7:7" x14ac:dyDescent="0.2">
      <c r="G540" s="13"/>
    </row>
    <row r="541" spans="7:7" x14ac:dyDescent="0.2">
      <c r="G541" s="13"/>
    </row>
    <row r="542" spans="7:7" x14ac:dyDescent="0.2">
      <c r="G542" s="13"/>
    </row>
    <row r="543" spans="7:7" x14ac:dyDescent="0.2">
      <c r="G543" s="13"/>
    </row>
    <row r="544" spans="7:7" x14ac:dyDescent="0.2">
      <c r="G544" s="13"/>
    </row>
    <row r="545" spans="7:7" x14ac:dyDescent="0.2">
      <c r="G545" s="13"/>
    </row>
    <row r="546" spans="7:7" x14ac:dyDescent="0.2">
      <c r="G546" s="13"/>
    </row>
    <row r="547" spans="7:7" x14ac:dyDescent="0.2">
      <c r="G547" s="13"/>
    </row>
    <row r="548" spans="7:7" x14ac:dyDescent="0.2">
      <c r="G548" s="13"/>
    </row>
    <row r="549" spans="7:7" x14ac:dyDescent="0.2">
      <c r="G549" s="13"/>
    </row>
    <row r="550" spans="7:7" x14ac:dyDescent="0.2">
      <c r="G550" s="13"/>
    </row>
    <row r="551" spans="7:7" x14ac:dyDescent="0.2">
      <c r="G551" s="13"/>
    </row>
    <row r="552" spans="7:7" x14ac:dyDescent="0.2">
      <c r="G552" s="13"/>
    </row>
    <row r="553" spans="7:7" x14ac:dyDescent="0.2">
      <c r="G553" s="13"/>
    </row>
    <row r="554" spans="7:7" x14ac:dyDescent="0.2">
      <c r="G554" s="13"/>
    </row>
    <row r="555" spans="7:7" x14ac:dyDescent="0.2">
      <c r="G555" s="13"/>
    </row>
    <row r="556" spans="7:7" x14ac:dyDescent="0.2">
      <c r="G556" s="13"/>
    </row>
    <row r="557" spans="7:7" x14ac:dyDescent="0.2">
      <c r="G557" s="13"/>
    </row>
    <row r="558" spans="7:7" x14ac:dyDescent="0.2">
      <c r="G558" s="13"/>
    </row>
    <row r="559" spans="7:7" x14ac:dyDescent="0.2">
      <c r="G559" s="13"/>
    </row>
    <row r="560" spans="7:7" x14ac:dyDescent="0.2">
      <c r="G560" s="13"/>
    </row>
    <row r="561" spans="7:7" x14ac:dyDescent="0.2">
      <c r="G561" s="13"/>
    </row>
    <row r="562" spans="7:7" x14ac:dyDescent="0.2">
      <c r="G562" s="13"/>
    </row>
    <row r="563" spans="7:7" x14ac:dyDescent="0.2">
      <c r="G563" s="13"/>
    </row>
    <row r="564" spans="7:7" x14ac:dyDescent="0.2">
      <c r="G564" s="13"/>
    </row>
    <row r="565" spans="7:7" x14ac:dyDescent="0.2">
      <c r="G565" s="13"/>
    </row>
    <row r="566" spans="7:7" x14ac:dyDescent="0.2">
      <c r="G566" s="13"/>
    </row>
    <row r="567" spans="7:7" x14ac:dyDescent="0.2">
      <c r="G567" s="13"/>
    </row>
    <row r="568" spans="7:7" x14ac:dyDescent="0.2">
      <c r="G568" s="13"/>
    </row>
    <row r="569" spans="7:7" x14ac:dyDescent="0.2">
      <c r="G569" s="13"/>
    </row>
    <row r="570" spans="7:7" x14ac:dyDescent="0.2">
      <c r="G570" s="13"/>
    </row>
    <row r="571" spans="7:7" x14ac:dyDescent="0.2">
      <c r="G571" s="13"/>
    </row>
    <row r="572" spans="7:7" x14ac:dyDescent="0.2">
      <c r="G572" s="13"/>
    </row>
    <row r="573" spans="7:7" x14ac:dyDescent="0.2">
      <c r="G573" s="13"/>
    </row>
    <row r="574" spans="7:7" x14ac:dyDescent="0.2">
      <c r="G574" s="13"/>
    </row>
    <row r="575" spans="7:7" x14ac:dyDescent="0.2">
      <c r="G575" s="13"/>
    </row>
    <row r="576" spans="7:7" x14ac:dyDescent="0.2">
      <c r="G576" s="13"/>
    </row>
    <row r="577" spans="7:7" x14ac:dyDescent="0.2">
      <c r="G577" s="13"/>
    </row>
    <row r="578" spans="7:7" x14ac:dyDescent="0.2">
      <c r="G578" s="13"/>
    </row>
    <row r="579" spans="7:7" x14ac:dyDescent="0.2">
      <c r="G579" s="13"/>
    </row>
    <row r="580" spans="7:7" x14ac:dyDescent="0.2">
      <c r="G580" s="13"/>
    </row>
    <row r="581" spans="7:7" x14ac:dyDescent="0.2">
      <c r="G581" s="13"/>
    </row>
    <row r="582" spans="7:7" x14ac:dyDescent="0.2">
      <c r="G582" s="13"/>
    </row>
    <row r="583" spans="7:7" x14ac:dyDescent="0.2">
      <c r="G583" s="13"/>
    </row>
    <row r="584" spans="7:7" x14ac:dyDescent="0.2">
      <c r="G584" s="13"/>
    </row>
    <row r="585" spans="7:7" x14ac:dyDescent="0.2">
      <c r="G585" s="13"/>
    </row>
    <row r="586" spans="7:7" x14ac:dyDescent="0.2">
      <c r="G586" s="13"/>
    </row>
    <row r="587" spans="7:7" x14ac:dyDescent="0.2">
      <c r="G587" s="13"/>
    </row>
    <row r="588" spans="7:7" x14ac:dyDescent="0.2">
      <c r="G588" s="13"/>
    </row>
    <row r="589" spans="7:7" x14ac:dyDescent="0.2">
      <c r="G589" s="13"/>
    </row>
    <row r="590" spans="7:7" x14ac:dyDescent="0.2">
      <c r="G590" s="13"/>
    </row>
    <row r="591" spans="7:7" x14ac:dyDescent="0.2">
      <c r="G591" s="13"/>
    </row>
    <row r="592" spans="7:7" x14ac:dyDescent="0.2">
      <c r="G592" s="13"/>
    </row>
    <row r="593" spans="7:7" x14ac:dyDescent="0.2">
      <c r="G593" s="13"/>
    </row>
    <row r="594" spans="7:7" x14ac:dyDescent="0.2">
      <c r="G594" s="13"/>
    </row>
    <row r="595" spans="7:7" x14ac:dyDescent="0.2">
      <c r="G595" s="13"/>
    </row>
    <row r="596" spans="7:7" x14ac:dyDescent="0.2">
      <c r="G596" s="13"/>
    </row>
    <row r="597" spans="7:7" x14ac:dyDescent="0.2">
      <c r="G597" s="13"/>
    </row>
    <row r="598" spans="7:7" x14ac:dyDescent="0.2">
      <c r="G598" s="13"/>
    </row>
    <row r="599" spans="7:7" x14ac:dyDescent="0.2">
      <c r="G599" s="13"/>
    </row>
    <row r="600" spans="7:7" x14ac:dyDescent="0.2">
      <c r="G600" s="13"/>
    </row>
    <row r="601" spans="7:7" x14ac:dyDescent="0.2">
      <c r="G601" s="13"/>
    </row>
    <row r="602" spans="7:7" x14ac:dyDescent="0.2">
      <c r="G602" s="13"/>
    </row>
    <row r="603" spans="7:7" x14ac:dyDescent="0.2">
      <c r="G603" s="13"/>
    </row>
    <row r="604" spans="7:7" x14ac:dyDescent="0.2">
      <c r="G604" s="13"/>
    </row>
    <row r="605" spans="7:7" x14ac:dyDescent="0.2">
      <c r="G605" s="13"/>
    </row>
    <row r="606" spans="7:7" x14ac:dyDescent="0.2">
      <c r="G606" s="13"/>
    </row>
    <row r="607" spans="7:7" x14ac:dyDescent="0.2">
      <c r="G607" s="13"/>
    </row>
    <row r="608" spans="7:7" x14ac:dyDescent="0.2">
      <c r="G608" s="13"/>
    </row>
    <row r="609" spans="7:7" x14ac:dyDescent="0.2">
      <c r="G609" s="13"/>
    </row>
    <row r="610" spans="7:7" x14ac:dyDescent="0.2">
      <c r="G610" s="13"/>
    </row>
    <row r="611" spans="7:7" x14ac:dyDescent="0.2">
      <c r="G611" s="13"/>
    </row>
    <row r="612" spans="7:7" x14ac:dyDescent="0.2">
      <c r="G612" s="13"/>
    </row>
    <row r="613" spans="7:7" x14ac:dyDescent="0.2">
      <c r="G613" s="13"/>
    </row>
    <row r="614" spans="7:7" x14ac:dyDescent="0.2">
      <c r="G614" s="13"/>
    </row>
    <row r="615" spans="7:7" x14ac:dyDescent="0.2">
      <c r="G615" s="13"/>
    </row>
    <row r="616" spans="7:7" x14ac:dyDescent="0.2">
      <c r="G616" s="13"/>
    </row>
    <row r="617" spans="7:7" x14ac:dyDescent="0.2">
      <c r="G617" s="13"/>
    </row>
    <row r="618" spans="7:7" x14ac:dyDescent="0.2">
      <c r="G618" s="13"/>
    </row>
    <row r="619" spans="7:7" x14ac:dyDescent="0.2">
      <c r="G619" s="13"/>
    </row>
    <row r="620" spans="7:7" x14ac:dyDescent="0.2">
      <c r="G620" s="13"/>
    </row>
    <row r="621" spans="7:7" x14ac:dyDescent="0.2">
      <c r="G621" s="13"/>
    </row>
    <row r="622" spans="7:7" x14ac:dyDescent="0.2">
      <c r="G622" s="13"/>
    </row>
    <row r="623" spans="7:7" x14ac:dyDescent="0.2">
      <c r="G623" s="13"/>
    </row>
    <row r="624" spans="7:7" x14ac:dyDescent="0.2">
      <c r="G624" s="13"/>
    </row>
    <row r="625" spans="7:7" x14ac:dyDescent="0.2">
      <c r="G625" s="13"/>
    </row>
    <row r="626" spans="7:7" x14ac:dyDescent="0.2">
      <c r="G626" s="13"/>
    </row>
    <row r="627" spans="7:7" x14ac:dyDescent="0.2">
      <c r="G627" s="13"/>
    </row>
    <row r="628" spans="7:7" x14ac:dyDescent="0.2">
      <c r="G628" s="13"/>
    </row>
    <row r="629" spans="7:7" x14ac:dyDescent="0.2">
      <c r="G629" s="13"/>
    </row>
    <row r="630" spans="7:7" x14ac:dyDescent="0.2">
      <c r="G630" s="13"/>
    </row>
    <row r="631" spans="7:7" x14ac:dyDescent="0.2">
      <c r="G631" s="13"/>
    </row>
    <row r="632" spans="7:7" x14ac:dyDescent="0.2">
      <c r="G632" s="13"/>
    </row>
    <row r="633" spans="7:7" x14ac:dyDescent="0.2">
      <c r="G633" s="13"/>
    </row>
    <row r="634" spans="7:7" x14ac:dyDescent="0.2">
      <c r="G634" s="13"/>
    </row>
    <row r="635" spans="7:7" x14ac:dyDescent="0.2">
      <c r="G635" s="13"/>
    </row>
    <row r="636" spans="7:7" x14ac:dyDescent="0.2">
      <c r="G636" s="13"/>
    </row>
    <row r="637" spans="7:7" x14ac:dyDescent="0.2">
      <c r="G637" s="13"/>
    </row>
    <row r="638" spans="7:7" x14ac:dyDescent="0.2">
      <c r="G638" s="13"/>
    </row>
    <row r="639" spans="7:7" x14ac:dyDescent="0.2">
      <c r="G639" s="13"/>
    </row>
    <row r="640" spans="7:7" x14ac:dyDescent="0.2">
      <c r="G640" s="13"/>
    </row>
    <row r="641" spans="7:7" x14ac:dyDescent="0.2">
      <c r="G641" s="13"/>
    </row>
    <row r="642" spans="7:7" x14ac:dyDescent="0.2">
      <c r="G642" s="13"/>
    </row>
    <row r="643" spans="7:7" x14ac:dyDescent="0.2">
      <c r="G643" s="13"/>
    </row>
    <row r="644" spans="7:7" x14ac:dyDescent="0.2">
      <c r="G644" s="13"/>
    </row>
    <row r="645" spans="7:7" x14ac:dyDescent="0.2">
      <c r="G645" s="13"/>
    </row>
    <row r="646" spans="7:7" x14ac:dyDescent="0.2">
      <c r="G646" s="13"/>
    </row>
    <row r="647" spans="7:7" x14ac:dyDescent="0.2">
      <c r="G647" s="13"/>
    </row>
    <row r="648" spans="7:7" x14ac:dyDescent="0.2">
      <c r="G648" s="13"/>
    </row>
    <row r="649" spans="7:7" x14ac:dyDescent="0.2">
      <c r="G649" s="13"/>
    </row>
    <row r="650" spans="7:7" x14ac:dyDescent="0.2">
      <c r="G650" s="13"/>
    </row>
    <row r="651" spans="7:7" x14ac:dyDescent="0.2">
      <c r="G651" s="13"/>
    </row>
    <row r="652" spans="7:7" x14ac:dyDescent="0.2">
      <c r="G652" s="13"/>
    </row>
    <row r="653" spans="7:7" x14ac:dyDescent="0.2">
      <c r="G653" s="13"/>
    </row>
    <row r="654" spans="7:7" x14ac:dyDescent="0.2">
      <c r="G654" s="13"/>
    </row>
    <row r="655" spans="7:7" x14ac:dyDescent="0.2">
      <c r="G655" s="13"/>
    </row>
    <row r="656" spans="7:7" x14ac:dyDescent="0.2">
      <c r="G656" s="13"/>
    </row>
    <row r="657" spans="7:7" x14ac:dyDescent="0.2">
      <c r="G657" s="13"/>
    </row>
    <row r="658" spans="7:7" x14ac:dyDescent="0.2">
      <c r="G658" s="13"/>
    </row>
    <row r="659" spans="7:7" x14ac:dyDescent="0.2">
      <c r="G659" s="13"/>
    </row>
    <row r="660" spans="7:7" x14ac:dyDescent="0.2">
      <c r="G660" s="13"/>
    </row>
    <row r="661" spans="7:7" x14ac:dyDescent="0.2">
      <c r="G661" s="13"/>
    </row>
    <row r="662" spans="7:7" x14ac:dyDescent="0.2">
      <c r="G662" s="13"/>
    </row>
    <row r="663" spans="7:7" x14ac:dyDescent="0.2">
      <c r="G663" s="13"/>
    </row>
    <row r="664" spans="7:7" x14ac:dyDescent="0.2">
      <c r="G664" s="13"/>
    </row>
    <row r="665" spans="7:7" x14ac:dyDescent="0.2">
      <c r="G665" s="13"/>
    </row>
    <row r="666" spans="7:7" x14ac:dyDescent="0.2">
      <c r="G666" s="13"/>
    </row>
    <row r="667" spans="7:7" x14ac:dyDescent="0.2">
      <c r="G667" s="13"/>
    </row>
    <row r="668" spans="7:7" x14ac:dyDescent="0.2">
      <c r="G668" s="13"/>
    </row>
    <row r="669" spans="7:7" x14ac:dyDescent="0.2">
      <c r="G669" s="13"/>
    </row>
    <row r="670" spans="7:7" x14ac:dyDescent="0.2">
      <c r="G670" s="13"/>
    </row>
    <row r="671" spans="7:7" x14ac:dyDescent="0.2">
      <c r="G671" s="13"/>
    </row>
    <row r="672" spans="7:7" x14ac:dyDescent="0.2">
      <c r="G672" s="13"/>
    </row>
    <row r="673" spans="7:7" x14ac:dyDescent="0.2">
      <c r="G673" s="13"/>
    </row>
    <row r="674" spans="7:7" x14ac:dyDescent="0.2">
      <c r="G674" s="13"/>
    </row>
    <row r="675" spans="7:7" x14ac:dyDescent="0.2">
      <c r="G675" s="13"/>
    </row>
    <row r="676" spans="7:7" x14ac:dyDescent="0.2">
      <c r="G676" s="13"/>
    </row>
    <row r="677" spans="7:7" x14ac:dyDescent="0.2">
      <c r="G677" s="13"/>
    </row>
    <row r="678" spans="7:7" x14ac:dyDescent="0.2">
      <c r="G678" s="13"/>
    </row>
    <row r="679" spans="7:7" x14ac:dyDescent="0.2">
      <c r="G679" s="13"/>
    </row>
    <row r="680" spans="7:7" x14ac:dyDescent="0.2">
      <c r="G680" s="13"/>
    </row>
    <row r="681" spans="7:7" x14ac:dyDescent="0.2">
      <c r="G681" s="13"/>
    </row>
    <row r="682" spans="7:7" x14ac:dyDescent="0.2">
      <c r="G682" s="13"/>
    </row>
    <row r="683" spans="7:7" x14ac:dyDescent="0.2">
      <c r="G683" s="13"/>
    </row>
    <row r="684" spans="7:7" x14ac:dyDescent="0.2">
      <c r="G684" s="13"/>
    </row>
    <row r="685" spans="7:7" x14ac:dyDescent="0.2">
      <c r="G685" s="13"/>
    </row>
    <row r="686" spans="7:7" x14ac:dyDescent="0.2">
      <c r="G686" s="13"/>
    </row>
    <row r="687" spans="7:7" x14ac:dyDescent="0.2">
      <c r="G687" s="13"/>
    </row>
    <row r="688" spans="7:7" x14ac:dyDescent="0.2">
      <c r="G688" s="13"/>
    </row>
    <row r="689" spans="7:7" x14ac:dyDescent="0.2">
      <c r="G689" s="13"/>
    </row>
    <row r="690" spans="7:7" x14ac:dyDescent="0.2">
      <c r="G690" s="13"/>
    </row>
    <row r="691" spans="7:7" x14ac:dyDescent="0.2">
      <c r="G691" s="13"/>
    </row>
    <row r="692" spans="7:7" x14ac:dyDescent="0.2">
      <c r="G692" s="13"/>
    </row>
    <row r="693" spans="7:7" x14ac:dyDescent="0.2">
      <c r="G693" s="13"/>
    </row>
    <row r="694" spans="7:7" x14ac:dyDescent="0.2">
      <c r="G694" s="13"/>
    </row>
    <row r="695" spans="7:7" x14ac:dyDescent="0.2">
      <c r="G695" s="13"/>
    </row>
    <row r="696" spans="7:7" x14ac:dyDescent="0.2">
      <c r="G696" s="13"/>
    </row>
    <row r="697" spans="7:7" x14ac:dyDescent="0.2">
      <c r="G697" s="13"/>
    </row>
    <row r="698" spans="7:7" x14ac:dyDescent="0.2">
      <c r="G698" s="13"/>
    </row>
    <row r="699" spans="7:7" x14ac:dyDescent="0.2">
      <c r="G699" s="13"/>
    </row>
    <row r="700" spans="7:7" x14ac:dyDescent="0.2">
      <c r="G700" s="13"/>
    </row>
    <row r="701" spans="7:7" x14ac:dyDescent="0.2">
      <c r="G701" s="13"/>
    </row>
    <row r="702" spans="7:7" x14ac:dyDescent="0.2">
      <c r="G702" s="13"/>
    </row>
    <row r="703" spans="7:7" x14ac:dyDescent="0.2">
      <c r="G703" s="13"/>
    </row>
    <row r="704" spans="7:7" x14ac:dyDescent="0.2">
      <c r="G704" s="13"/>
    </row>
    <row r="705" spans="7:7" x14ac:dyDescent="0.2">
      <c r="G705" s="13"/>
    </row>
    <row r="706" spans="7:7" x14ac:dyDescent="0.2">
      <c r="G706" s="13"/>
    </row>
    <row r="707" spans="7:7" x14ac:dyDescent="0.2">
      <c r="G707" s="13"/>
    </row>
    <row r="708" spans="7:7" x14ac:dyDescent="0.2">
      <c r="G708" s="13"/>
    </row>
    <row r="709" spans="7:7" x14ac:dyDescent="0.2">
      <c r="G709" s="13"/>
    </row>
    <row r="710" spans="7:7" x14ac:dyDescent="0.2">
      <c r="G710" s="13"/>
    </row>
    <row r="711" spans="7:7" x14ac:dyDescent="0.2">
      <c r="G711" s="13"/>
    </row>
    <row r="712" spans="7:7" x14ac:dyDescent="0.2">
      <c r="G712" s="13"/>
    </row>
    <row r="713" spans="7:7" x14ac:dyDescent="0.2">
      <c r="G713" s="13"/>
    </row>
    <row r="714" spans="7:7" x14ac:dyDescent="0.2">
      <c r="G714" s="13"/>
    </row>
    <row r="715" spans="7:7" x14ac:dyDescent="0.2">
      <c r="G715" s="13"/>
    </row>
    <row r="716" spans="7:7" x14ac:dyDescent="0.2">
      <c r="G716" s="13"/>
    </row>
    <row r="717" spans="7:7" x14ac:dyDescent="0.2">
      <c r="G717" s="13"/>
    </row>
    <row r="718" spans="7:7" x14ac:dyDescent="0.2">
      <c r="G718" s="13"/>
    </row>
    <row r="719" spans="7:7" x14ac:dyDescent="0.2">
      <c r="G719" s="13"/>
    </row>
    <row r="720" spans="7:7" x14ac:dyDescent="0.2">
      <c r="G720" s="13"/>
    </row>
    <row r="721" spans="7:7" x14ac:dyDescent="0.2">
      <c r="G721" s="13"/>
    </row>
    <row r="722" spans="7:7" x14ac:dyDescent="0.2">
      <c r="G722" s="13"/>
    </row>
    <row r="723" spans="7:7" x14ac:dyDescent="0.2">
      <c r="G723" s="13"/>
    </row>
    <row r="724" spans="7:7" x14ac:dyDescent="0.2">
      <c r="G724" s="13"/>
    </row>
    <row r="725" spans="7:7" x14ac:dyDescent="0.2">
      <c r="G725" s="13"/>
    </row>
    <row r="726" spans="7:7" x14ac:dyDescent="0.2">
      <c r="G726" s="13"/>
    </row>
    <row r="727" spans="7:7" x14ac:dyDescent="0.2">
      <c r="G727" s="13"/>
    </row>
    <row r="728" spans="7:7" x14ac:dyDescent="0.2">
      <c r="G728" s="13"/>
    </row>
    <row r="729" spans="7:7" x14ac:dyDescent="0.2">
      <c r="G729" s="13"/>
    </row>
    <row r="730" spans="7:7" x14ac:dyDescent="0.2">
      <c r="G730" s="13"/>
    </row>
    <row r="731" spans="7:7" x14ac:dyDescent="0.2">
      <c r="G731" s="13"/>
    </row>
    <row r="732" spans="7:7" x14ac:dyDescent="0.2">
      <c r="G732" s="13"/>
    </row>
    <row r="733" spans="7:7" x14ac:dyDescent="0.2">
      <c r="G733" s="13"/>
    </row>
    <row r="734" spans="7:7" x14ac:dyDescent="0.2">
      <c r="G734" s="13"/>
    </row>
    <row r="735" spans="7:7" x14ac:dyDescent="0.2">
      <c r="G735" s="13"/>
    </row>
    <row r="736" spans="7:7" x14ac:dyDescent="0.2">
      <c r="G736" s="13"/>
    </row>
    <row r="737" spans="7:7" x14ac:dyDescent="0.2">
      <c r="G737" s="13"/>
    </row>
    <row r="738" spans="7:7" x14ac:dyDescent="0.2">
      <c r="G738" s="13"/>
    </row>
    <row r="739" spans="7:7" x14ac:dyDescent="0.2">
      <c r="G739" s="13"/>
    </row>
    <row r="740" spans="7:7" x14ac:dyDescent="0.2">
      <c r="G740" s="13"/>
    </row>
    <row r="741" spans="7:7" x14ac:dyDescent="0.2">
      <c r="G741" s="13"/>
    </row>
    <row r="742" spans="7:7" x14ac:dyDescent="0.2">
      <c r="G742" s="13"/>
    </row>
    <row r="743" spans="7:7" x14ac:dyDescent="0.2">
      <c r="G743" s="13"/>
    </row>
    <row r="744" spans="7:7" x14ac:dyDescent="0.2">
      <c r="G744" s="13"/>
    </row>
    <row r="745" spans="7:7" x14ac:dyDescent="0.2">
      <c r="G745" s="13"/>
    </row>
    <row r="746" spans="7:7" x14ac:dyDescent="0.2">
      <c r="G746" s="13"/>
    </row>
    <row r="747" spans="7:7" x14ac:dyDescent="0.2">
      <c r="G747" s="13"/>
    </row>
    <row r="748" spans="7:7" x14ac:dyDescent="0.2">
      <c r="G748" s="13"/>
    </row>
    <row r="749" spans="7:7" x14ac:dyDescent="0.2">
      <c r="G749" s="13"/>
    </row>
    <row r="750" spans="7:7" x14ac:dyDescent="0.2">
      <c r="G750" s="13"/>
    </row>
    <row r="751" spans="7:7" x14ac:dyDescent="0.2">
      <c r="G751" s="13"/>
    </row>
    <row r="752" spans="7:7" x14ac:dyDescent="0.2">
      <c r="G752" s="13"/>
    </row>
    <row r="753" spans="7:7" x14ac:dyDescent="0.2">
      <c r="G753" s="13"/>
    </row>
    <row r="754" spans="7:7" x14ac:dyDescent="0.2">
      <c r="G754" s="13"/>
    </row>
    <row r="755" spans="7:7" x14ac:dyDescent="0.2">
      <c r="G755" s="13"/>
    </row>
    <row r="756" spans="7:7" x14ac:dyDescent="0.2">
      <c r="G756" s="13"/>
    </row>
    <row r="757" spans="7:7" x14ac:dyDescent="0.2">
      <c r="G757" s="13"/>
    </row>
    <row r="758" spans="7:7" x14ac:dyDescent="0.2">
      <c r="G758" s="13"/>
    </row>
    <row r="759" spans="7:7" x14ac:dyDescent="0.2">
      <c r="G759" s="13"/>
    </row>
    <row r="760" spans="7:7" x14ac:dyDescent="0.2">
      <c r="G760" s="13"/>
    </row>
    <row r="761" spans="7:7" x14ac:dyDescent="0.2">
      <c r="G761" s="13"/>
    </row>
    <row r="762" spans="7:7" x14ac:dyDescent="0.2">
      <c r="G762" s="13"/>
    </row>
    <row r="763" spans="7:7" x14ac:dyDescent="0.2">
      <c r="G763" s="13"/>
    </row>
    <row r="764" spans="7:7" x14ac:dyDescent="0.2">
      <c r="G764" s="13"/>
    </row>
    <row r="765" spans="7:7" x14ac:dyDescent="0.2">
      <c r="G765" s="13"/>
    </row>
    <row r="766" spans="7:7" x14ac:dyDescent="0.2">
      <c r="G766" s="13"/>
    </row>
    <row r="767" spans="7:7" x14ac:dyDescent="0.2">
      <c r="G767" s="13"/>
    </row>
    <row r="768" spans="7:7" x14ac:dyDescent="0.2">
      <c r="G768" s="13"/>
    </row>
    <row r="769" spans="7:7" x14ac:dyDescent="0.2">
      <c r="G769" s="13"/>
    </row>
    <row r="770" spans="7:7" x14ac:dyDescent="0.2">
      <c r="G770" s="13"/>
    </row>
    <row r="771" spans="7:7" x14ac:dyDescent="0.2">
      <c r="G771" s="13"/>
    </row>
    <row r="772" spans="7:7" x14ac:dyDescent="0.2">
      <c r="G772" s="13"/>
    </row>
    <row r="773" spans="7:7" x14ac:dyDescent="0.2">
      <c r="G773" s="13"/>
    </row>
    <row r="774" spans="7:7" x14ac:dyDescent="0.2">
      <c r="G774" s="13"/>
    </row>
    <row r="775" spans="7:7" x14ac:dyDescent="0.2">
      <c r="G775" s="13"/>
    </row>
    <row r="776" spans="7:7" x14ac:dyDescent="0.2">
      <c r="G776" s="13"/>
    </row>
    <row r="777" spans="7:7" x14ac:dyDescent="0.2">
      <c r="G777" s="13"/>
    </row>
    <row r="778" spans="7:7" x14ac:dyDescent="0.2">
      <c r="G778" s="13"/>
    </row>
    <row r="779" spans="7:7" x14ac:dyDescent="0.2">
      <c r="G779" s="13"/>
    </row>
    <row r="780" spans="7:7" x14ac:dyDescent="0.2">
      <c r="G780" s="13"/>
    </row>
    <row r="781" spans="7:7" x14ac:dyDescent="0.2">
      <c r="G781" s="13"/>
    </row>
    <row r="782" spans="7:7" x14ac:dyDescent="0.2">
      <c r="G782" s="13"/>
    </row>
    <row r="783" spans="7:7" x14ac:dyDescent="0.2">
      <c r="G783" s="13"/>
    </row>
    <row r="784" spans="7:7" x14ac:dyDescent="0.2">
      <c r="G784" s="13"/>
    </row>
    <row r="785" spans="7:7" x14ac:dyDescent="0.2">
      <c r="G785" s="13"/>
    </row>
    <row r="786" spans="7:7" x14ac:dyDescent="0.2">
      <c r="G786" s="13"/>
    </row>
    <row r="787" spans="7:7" x14ac:dyDescent="0.2">
      <c r="G787" s="13"/>
    </row>
    <row r="788" spans="7:7" x14ac:dyDescent="0.2">
      <c r="G788" s="13"/>
    </row>
    <row r="789" spans="7:7" x14ac:dyDescent="0.2">
      <c r="G789" s="13"/>
    </row>
    <row r="790" spans="7:7" x14ac:dyDescent="0.2">
      <c r="G790" s="13"/>
    </row>
    <row r="791" spans="7:7" x14ac:dyDescent="0.2">
      <c r="G791" s="13"/>
    </row>
    <row r="792" spans="7:7" x14ac:dyDescent="0.2">
      <c r="G792" s="13"/>
    </row>
    <row r="793" spans="7:7" x14ac:dyDescent="0.2">
      <c r="G793" s="13"/>
    </row>
    <row r="794" spans="7:7" x14ac:dyDescent="0.2">
      <c r="G794" s="13"/>
    </row>
    <row r="795" spans="7:7" x14ac:dyDescent="0.2">
      <c r="G795" s="13"/>
    </row>
    <row r="796" spans="7:7" x14ac:dyDescent="0.2">
      <c r="G796" s="13"/>
    </row>
    <row r="797" spans="7:7" x14ac:dyDescent="0.2">
      <c r="G797" s="13"/>
    </row>
    <row r="798" spans="7:7" x14ac:dyDescent="0.2">
      <c r="G798" s="13"/>
    </row>
    <row r="799" spans="7:7" x14ac:dyDescent="0.2">
      <c r="G799" s="13"/>
    </row>
    <row r="800" spans="7:7" x14ac:dyDescent="0.2">
      <c r="G800" s="13"/>
    </row>
    <row r="801" spans="7:7" x14ac:dyDescent="0.2">
      <c r="G801" s="13"/>
    </row>
    <row r="802" spans="7:7" x14ac:dyDescent="0.2">
      <c r="G802" s="13"/>
    </row>
    <row r="803" spans="7:7" x14ac:dyDescent="0.2">
      <c r="G803" s="13"/>
    </row>
    <row r="804" spans="7:7" x14ac:dyDescent="0.2">
      <c r="G804" s="13"/>
    </row>
    <row r="805" spans="7:7" x14ac:dyDescent="0.2">
      <c r="G805" s="13"/>
    </row>
    <row r="806" spans="7:7" x14ac:dyDescent="0.2">
      <c r="G806" s="13"/>
    </row>
    <row r="807" spans="7:7" x14ac:dyDescent="0.2">
      <c r="G807" s="13"/>
    </row>
    <row r="808" spans="7:7" x14ac:dyDescent="0.2">
      <c r="G808" s="13"/>
    </row>
    <row r="809" spans="7:7" x14ac:dyDescent="0.2">
      <c r="G809" s="13"/>
    </row>
    <row r="810" spans="7:7" x14ac:dyDescent="0.2">
      <c r="G810" s="13"/>
    </row>
    <row r="811" spans="7:7" x14ac:dyDescent="0.2">
      <c r="G811" s="13"/>
    </row>
    <row r="812" spans="7:7" x14ac:dyDescent="0.2">
      <c r="G812" s="13"/>
    </row>
    <row r="813" spans="7:7" x14ac:dyDescent="0.2">
      <c r="G813" s="13"/>
    </row>
    <row r="814" spans="7:7" x14ac:dyDescent="0.2">
      <c r="G814" s="13"/>
    </row>
    <row r="815" spans="7:7" x14ac:dyDescent="0.2">
      <c r="G815" s="13"/>
    </row>
    <row r="816" spans="7:7" x14ac:dyDescent="0.2">
      <c r="G816" s="13"/>
    </row>
    <row r="817" spans="7:7" x14ac:dyDescent="0.2">
      <c r="G817" s="13"/>
    </row>
    <row r="818" spans="7:7" x14ac:dyDescent="0.2">
      <c r="G818" s="13"/>
    </row>
    <row r="819" spans="7:7" x14ac:dyDescent="0.2">
      <c r="G819" s="13"/>
    </row>
    <row r="820" spans="7:7" x14ac:dyDescent="0.2">
      <c r="G820" s="13"/>
    </row>
    <row r="821" spans="7:7" x14ac:dyDescent="0.2">
      <c r="G821" s="13"/>
    </row>
    <row r="822" spans="7:7" x14ac:dyDescent="0.2">
      <c r="G822" s="13"/>
    </row>
    <row r="823" spans="7:7" x14ac:dyDescent="0.2">
      <c r="G823" s="13"/>
    </row>
    <row r="824" spans="7:7" x14ac:dyDescent="0.2">
      <c r="G824" s="13"/>
    </row>
    <row r="825" spans="7:7" x14ac:dyDescent="0.2">
      <c r="G825" s="13"/>
    </row>
    <row r="826" spans="7:7" x14ac:dyDescent="0.2">
      <c r="G826" s="13"/>
    </row>
    <row r="827" spans="7:7" x14ac:dyDescent="0.2">
      <c r="G827" s="13"/>
    </row>
    <row r="828" spans="7:7" x14ac:dyDescent="0.2">
      <c r="G828" s="13"/>
    </row>
    <row r="829" spans="7:7" x14ac:dyDescent="0.2">
      <c r="G829" s="13"/>
    </row>
    <row r="830" spans="7:7" x14ac:dyDescent="0.2">
      <c r="G830" s="13"/>
    </row>
    <row r="831" spans="7:7" x14ac:dyDescent="0.2">
      <c r="G831" s="13"/>
    </row>
    <row r="832" spans="7:7" x14ac:dyDescent="0.2">
      <c r="G832" s="13"/>
    </row>
    <row r="833" spans="7:7" x14ac:dyDescent="0.2">
      <c r="G833" s="13"/>
    </row>
    <row r="834" spans="7:7" x14ac:dyDescent="0.2">
      <c r="G834" s="13"/>
    </row>
    <row r="835" spans="7:7" x14ac:dyDescent="0.2">
      <c r="G835" s="13"/>
    </row>
    <row r="836" spans="7:7" x14ac:dyDescent="0.2">
      <c r="G836" s="13"/>
    </row>
    <row r="837" spans="7:7" x14ac:dyDescent="0.2">
      <c r="G837" s="13"/>
    </row>
    <row r="838" spans="7:7" x14ac:dyDescent="0.2">
      <c r="G838" s="13"/>
    </row>
    <row r="839" spans="7:7" x14ac:dyDescent="0.2">
      <c r="G839" s="13"/>
    </row>
    <row r="840" spans="7:7" x14ac:dyDescent="0.2">
      <c r="G840" s="13"/>
    </row>
    <row r="841" spans="7:7" x14ac:dyDescent="0.2">
      <c r="G841" s="13"/>
    </row>
    <row r="842" spans="7:7" x14ac:dyDescent="0.2">
      <c r="G842" s="13"/>
    </row>
    <row r="843" spans="7:7" x14ac:dyDescent="0.2">
      <c r="G843" s="13"/>
    </row>
    <row r="844" spans="7:7" x14ac:dyDescent="0.2">
      <c r="G844" s="13"/>
    </row>
    <row r="845" spans="7:7" x14ac:dyDescent="0.2">
      <c r="G845" s="13"/>
    </row>
    <row r="846" spans="7:7" x14ac:dyDescent="0.2">
      <c r="G846" s="13"/>
    </row>
    <row r="847" spans="7:7" x14ac:dyDescent="0.2">
      <c r="G847" s="13"/>
    </row>
    <row r="848" spans="7:7" x14ac:dyDescent="0.2">
      <c r="G848" s="13"/>
    </row>
    <row r="849" spans="7:7" x14ac:dyDescent="0.2">
      <c r="G849" s="13"/>
    </row>
    <row r="850" spans="7:7" x14ac:dyDescent="0.2">
      <c r="G850" s="13"/>
    </row>
    <row r="851" spans="7:7" x14ac:dyDescent="0.2">
      <c r="G851" s="13"/>
    </row>
    <row r="852" spans="7:7" x14ac:dyDescent="0.2">
      <c r="G852" s="13"/>
    </row>
    <row r="853" spans="7:7" x14ac:dyDescent="0.2">
      <c r="G853" s="13"/>
    </row>
    <row r="854" spans="7:7" x14ac:dyDescent="0.2">
      <c r="G854" s="13"/>
    </row>
    <row r="855" spans="7:7" x14ac:dyDescent="0.2">
      <c r="G855" s="13"/>
    </row>
    <row r="856" spans="7:7" x14ac:dyDescent="0.2">
      <c r="G856" s="13"/>
    </row>
    <row r="857" spans="7:7" x14ac:dyDescent="0.2">
      <c r="G857" s="13"/>
    </row>
    <row r="858" spans="7:7" x14ac:dyDescent="0.2">
      <c r="G858" s="13"/>
    </row>
    <row r="859" spans="7:7" x14ac:dyDescent="0.2">
      <c r="G859" s="13"/>
    </row>
    <row r="860" spans="7:7" x14ac:dyDescent="0.2">
      <c r="G860" s="13"/>
    </row>
    <row r="861" spans="7:7" x14ac:dyDescent="0.2">
      <c r="G861" s="13"/>
    </row>
    <row r="862" spans="7:7" x14ac:dyDescent="0.2">
      <c r="G862" s="13"/>
    </row>
    <row r="863" spans="7:7" x14ac:dyDescent="0.2">
      <c r="G863" s="13"/>
    </row>
    <row r="864" spans="7:7" x14ac:dyDescent="0.2">
      <c r="G864" s="13"/>
    </row>
    <row r="865" spans="7:7" x14ac:dyDescent="0.2">
      <c r="G865" s="13"/>
    </row>
    <row r="866" spans="7:7" x14ac:dyDescent="0.2">
      <c r="G866" s="13"/>
    </row>
    <row r="867" spans="7:7" x14ac:dyDescent="0.2">
      <c r="G867" s="13"/>
    </row>
    <row r="868" spans="7:7" x14ac:dyDescent="0.2">
      <c r="G868" s="13"/>
    </row>
    <row r="869" spans="7:7" x14ac:dyDescent="0.2">
      <c r="G869" s="13"/>
    </row>
    <row r="870" spans="7:7" x14ac:dyDescent="0.2">
      <c r="G870" s="13"/>
    </row>
    <row r="871" spans="7:7" x14ac:dyDescent="0.2">
      <c r="G871" s="13"/>
    </row>
    <row r="872" spans="7:7" x14ac:dyDescent="0.2">
      <c r="G872" s="13"/>
    </row>
    <row r="873" spans="7:7" x14ac:dyDescent="0.2">
      <c r="G873" s="13"/>
    </row>
    <row r="874" spans="7:7" x14ac:dyDescent="0.2">
      <c r="G874" s="13"/>
    </row>
    <row r="875" spans="7:7" x14ac:dyDescent="0.2">
      <c r="G875" s="13"/>
    </row>
    <row r="876" spans="7:7" x14ac:dyDescent="0.2">
      <c r="G876" s="13"/>
    </row>
    <row r="877" spans="7:7" x14ac:dyDescent="0.2">
      <c r="G877" s="13"/>
    </row>
    <row r="878" spans="7:7" x14ac:dyDescent="0.2">
      <c r="G878" s="13"/>
    </row>
    <row r="879" spans="7:7" x14ac:dyDescent="0.2">
      <c r="G879" s="13"/>
    </row>
    <row r="880" spans="7:7" x14ac:dyDescent="0.2">
      <c r="G880" s="13"/>
    </row>
    <row r="881" spans="7:7" x14ac:dyDescent="0.2">
      <c r="G881" s="13"/>
    </row>
    <row r="882" spans="7:7" x14ac:dyDescent="0.2">
      <c r="G882" s="13"/>
    </row>
    <row r="883" spans="7:7" x14ac:dyDescent="0.2">
      <c r="G883" s="13"/>
    </row>
    <row r="884" spans="7:7" x14ac:dyDescent="0.2">
      <c r="G884" s="13"/>
    </row>
    <row r="885" spans="7:7" x14ac:dyDescent="0.2">
      <c r="G885" s="13"/>
    </row>
    <row r="886" spans="7:7" x14ac:dyDescent="0.2">
      <c r="G886" s="13"/>
    </row>
    <row r="887" spans="7:7" x14ac:dyDescent="0.2">
      <c r="G887" s="13"/>
    </row>
    <row r="888" spans="7:7" x14ac:dyDescent="0.2">
      <c r="G888" s="13"/>
    </row>
    <row r="889" spans="7:7" x14ac:dyDescent="0.2">
      <c r="G889" s="13"/>
    </row>
    <row r="890" spans="7:7" x14ac:dyDescent="0.2">
      <c r="G890" s="13"/>
    </row>
    <row r="891" spans="7:7" x14ac:dyDescent="0.2">
      <c r="G891" s="13"/>
    </row>
    <row r="892" spans="7:7" x14ac:dyDescent="0.2">
      <c r="G892" s="13"/>
    </row>
    <row r="893" spans="7:7" x14ac:dyDescent="0.2">
      <c r="G893" s="13"/>
    </row>
    <row r="894" spans="7:7" x14ac:dyDescent="0.2">
      <c r="G894" s="13"/>
    </row>
    <row r="895" spans="7:7" x14ac:dyDescent="0.2">
      <c r="G895" s="13"/>
    </row>
    <row r="896" spans="7:7" x14ac:dyDescent="0.2">
      <c r="G896" s="13"/>
    </row>
    <row r="897" spans="7:7" x14ac:dyDescent="0.2">
      <c r="G897" s="13"/>
    </row>
    <row r="898" spans="7:7" x14ac:dyDescent="0.2">
      <c r="G898" s="13"/>
    </row>
    <row r="899" spans="7:7" x14ac:dyDescent="0.2">
      <c r="G899" s="13"/>
    </row>
    <row r="900" spans="7:7" x14ac:dyDescent="0.2">
      <c r="G900" s="13"/>
    </row>
    <row r="901" spans="7:7" x14ac:dyDescent="0.2">
      <c r="G901" s="13"/>
    </row>
    <row r="902" spans="7:7" x14ac:dyDescent="0.2">
      <c r="G902" s="13"/>
    </row>
    <row r="903" spans="7:7" x14ac:dyDescent="0.2">
      <c r="G903" s="13"/>
    </row>
    <row r="904" spans="7:7" x14ac:dyDescent="0.2">
      <c r="G904" s="13"/>
    </row>
    <row r="905" spans="7:7" x14ac:dyDescent="0.2">
      <c r="G905" s="13"/>
    </row>
    <row r="906" spans="7:7" x14ac:dyDescent="0.2">
      <c r="G906" s="13"/>
    </row>
    <row r="907" spans="7:7" x14ac:dyDescent="0.2">
      <c r="G907" s="13"/>
    </row>
    <row r="908" spans="7:7" x14ac:dyDescent="0.2">
      <c r="G908" s="13"/>
    </row>
    <row r="909" spans="7:7" x14ac:dyDescent="0.2">
      <c r="G909" s="13"/>
    </row>
    <row r="910" spans="7:7" x14ac:dyDescent="0.2">
      <c r="G910" s="13"/>
    </row>
    <row r="911" spans="7:7" x14ac:dyDescent="0.2">
      <c r="G911" s="13"/>
    </row>
    <row r="912" spans="7:7" x14ac:dyDescent="0.2">
      <c r="G912" s="13"/>
    </row>
    <row r="913" spans="7:7" x14ac:dyDescent="0.2">
      <c r="G913" s="13"/>
    </row>
    <row r="914" spans="7:7" x14ac:dyDescent="0.2">
      <c r="G914" s="13"/>
    </row>
    <row r="915" spans="7:7" x14ac:dyDescent="0.2">
      <c r="G915" s="13"/>
    </row>
    <row r="916" spans="7:7" x14ac:dyDescent="0.2">
      <c r="G916" s="13"/>
    </row>
    <row r="917" spans="7:7" x14ac:dyDescent="0.2">
      <c r="G917" s="13"/>
    </row>
    <row r="918" spans="7:7" x14ac:dyDescent="0.2">
      <c r="G918" s="13"/>
    </row>
    <row r="919" spans="7:7" x14ac:dyDescent="0.2">
      <c r="G919" s="13"/>
    </row>
    <row r="920" spans="7:7" x14ac:dyDescent="0.2">
      <c r="G920" s="13"/>
    </row>
    <row r="921" spans="7:7" x14ac:dyDescent="0.2">
      <c r="G921" s="13"/>
    </row>
    <row r="922" spans="7:7" x14ac:dyDescent="0.2">
      <c r="G922" s="13"/>
    </row>
    <row r="923" spans="7:7" x14ac:dyDescent="0.2">
      <c r="G923" s="13"/>
    </row>
    <row r="924" spans="7:7" x14ac:dyDescent="0.2">
      <c r="G924" s="13"/>
    </row>
    <row r="925" spans="7:7" x14ac:dyDescent="0.2">
      <c r="G925" s="13"/>
    </row>
    <row r="926" spans="7:7" x14ac:dyDescent="0.2">
      <c r="G926" s="13"/>
    </row>
    <row r="927" spans="7:7" x14ac:dyDescent="0.2">
      <c r="G927" s="13"/>
    </row>
    <row r="928" spans="7:7" x14ac:dyDescent="0.2">
      <c r="G928" s="13"/>
    </row>
    <row r="929" spans="7:7" x14ac:dyDescent="0.2">
      <c r="G929" s="13"/>
    </row>
    <row r="930" spans="7:7" x14ac:dyDescent="0.2">
      <c r="G930" s="13"/>
    </row>
    <row r="931" spans="7:7" x14ac:dyDescent="0.2">
      <c r="G931" s="13"/>
    </row>
    <row r="932" spans="7:7" x14ac:dyDescent="0.2">
      <c r="G932" s="13"/>
    </row>
    <row r="933" spans="7:7" x14ac:dyDescent="0.2">
      <c r="G933" s="13"/>
    </row>
    <row r="934" spans="7:7" x14ac:dyDescent="0.2">
      <c r="G934" s="13"/>
    </row>
    <row r="935" spans="7:7" x14ac:dyDescent="0.2">
      <c r="G935" s="13"/>
    </row>
    <row r="936" spans="7:7" x14ac:dyDescent="0.2">
      <c r="G936" s="13"/>
    </row>
    <row r="937" spans="7:7" x14ac:dyDescent="0.2">
      <c r="G937" s="13"/>
    </row>
    <row r="938" spans="7:7" x14ac:dyDescent="0.2">
      <c r="G938" s="13"/>
    </row>
    <row r="939" spans="7:7" x14ac:dyDescent="0.2">
      <c r="G939" s="13"/>
    </row>
    <row r="940" spans="7:7" x14ac:dyDescent="0.2">
      <c r="G940" s="13"/>
    </row>
    <row r="941" spans="7:7" x14ac:dyDescent="0.2">
      <c r="G941" s="13"/>
    </row>
    <row r="942" spans="7:7" x14ac:dyDescent="0.2">
      <c r="G942" s="13"/>
    </row>
    <row r="943" spans="7:7" x14ac:dyDescent="0.2">
      <c r="G943" s="13"/>
    </row>
    <row r="944" spans="7:7" x14ac:dyDescent="0.2">
      <c r="G944" s="13"/>
    </row>
    <row r="945" spans="7:7" x14ac:dyDescent="0.2">
      <c r="G945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2026-06-02T19:17:25Z</dcterms:modified>
</cp:coreProperties>
</file>