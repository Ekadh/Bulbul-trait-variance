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inda/Documents/MRes project/data/Collaborator data/"/>
    </mc:Choice>
  </mc:AlternateContent>
  <xr:revisionPtr revIDLastSave="0" documentId="13_ncr:1_{15C4265B-4976-D048-869E-4CD89D172D71}" xr6:coauthVersionLast="47" xr6:coauthVersionMax="47" xr10:uidLastSave="{00000000-0000-0000-0000-000000000000}"/>
  <bookViews>
    <workbookView xWindow="780" yWindow="1000" windowWidth="27640" windowHeight="15800" xr2:uid="{61E3933F-AB8C-1C4A-8409-52AE287F956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06" i="1" l="1"/>
  <c r="N104" i="1"/>
  <c r="N102" i="1"/>
  <c r="N98" i="1"/>
  <c r="N21" i="1"/>
</calcChain>
</file>

<file path=xl/sharedStrings.xml><?xml version="1.0" encoding="utf-8"?>
<sst xmlns="http://schemas.openxmlformats.org/spreadsheetml/2006/main" count="2053" uniqueCount="686">
  <si>
    <t>speciesID</t>
  </si>
  <si>
    <t>Family</t>
  </si>
  <si>
    <t>English Name</t>
  </si>
  <si>
    <t>Scientific_Name</t>
  </si>
  <si>
    <t>Collection</t>
  </si>
  <si>
    <t>Number/Code</t>
  </si>
  <si>
    <t>Date collected</t>
  </si>
  <si>
    <t xml:space="preserve">Locality </t>
  </si>
  <si>
    <t>Country</t>
  </si>
  <si>
    <t>Sex</t>
  </si>
  <si>
    <t>Bill_TotalCulmen</t>
  </si>
  <si>
    <t>Bill_FromNostril</t>
  </si>
  <si>
    <t>Bill_Width</t>
  </si>
  <si>
    <t>Bill_Depth</t>
  </si>
  <si>
    <t>Gape Width</t>
  </si>
  <si>
    <t>Tarsus_Length</t>
  </si>
  <si>
    <t>Kipp's_Distance</t>
  </si>
  <si>
    <t>Wing_Chord</t>
  </si>
  <si>
    <t>Tail_Length</t>
  </si>
  <si>
    <t>Subspecies</t>
  </si>
  <si>
    <t>Comments</t>
  </si>
  <si>
    <t>Measurer</t>
  </si>
  <si>
    <t>PNM 16222</t>
  </si>
  <si>
    <t>Nov. 12, 1982</t>
  </si>
  <si>
    <t>Dalton pass, Nueva Vizcaya</t>
  </si>
  <si>
    <t>Phillippines</t>
  </si>
  <si>
    <t>M</t>
  </si>
  <si>
    <t>PNM 19758</t>
  </si>
  <si>
    <t>Nov. 6, 2003</t>
  </si>
  <si>
    <t>Olango Island Wildlife Sanctuary</t>
  </si>
  <si>
    <t>F</t>
  </si>
  <si>
    <t>PNM 8357</t>
  </si>
  <si>
    <t>May 27, 1966</t>
  </si>
  <si>
    <t>Balian, Pangil, Laguna</t>
  </si>
  <si>
    <t>PNM 3998</t>
  </si>
  <si>
    <t>Jan. 20, 1952</t>
  </si>
  <si>
    <t>Sibulan, Negros Oriental</t>
  </si>
  <si>
    <t>PNM 16009</t>
  </si>
  <si>
    <t>Dec. 13, 1981</t>
  </si>
  <si>
    <t>Surngit, San Juan, Ilocos Sur</t>
  </si>
  <si>
    <t>PNM 12729</t>
  </si>
  <si>
    <t>Dec. 4, 1970</t>
  </si>
  <si>
    <t>Bo. Kinama, Liwan, Kalinga, Apayao</t>
  </si>
  <si>
    <t>PNM 19845</t>
  </si>
  <si>
    <t>Oct. 17, 2003</t>
  </si>
  <si>
    <t>PNM 18128</t>
  </si>
  <si>
    <t>Oct. 15, 1994</t>
  </si>
  <si>
    <t>Capitol Site, Patikul, Sulu</t>
  </si>
  <si>
    <t>IC Enriquez</t>
  </si>
  <si>
    <t>PNM 15146</t>
  </si>
  <si>
    <t>Mar. 2, 1976</t>
  </si>
  <si>
    <t>Burgos, Talibon, Bohol</t>
  </si>
  <si>
    <t>PNM 13569</t>
  </si>
  <si>
    <t>Jul. 13, 1961</t>
  </si>
  <si>
    <t>Balinsasayao, Abuyog, Leyte</t>
  </si>
  <si>
    <t>PNM 8356</t>
  </si>
  <si>
    <t>May 26, 1966</t>
  </si>
  <si>
    <t xml:space="preserve"> PNM 16091</t>
  </si>
  <si>
    <t>Oct. 25, 1979</t>
  </si>
  <si>
    <t>Kawaigan, Minolo, Puerto Galera</t>
  </si>
  <si>
    <t>PNM 1290</t>
  </si>
  <si>
    <t>Oct. 5, 1947</t>
  </si>
  <si>
    <t>Badok. Naujan, Mindoro</t>
  </si>
  <si>
    <t>PNM 16006</t>
  </si>
  <si>
    <t>Dec. 3, 1981</t>
  </si>
  <si>
    <t>PNM 16008</t>
  </si>
  <si>
    <t>Dec. 9, 1981</t>
  </si>
  <si>
    <t>PNM 16221</t>
  </si>
  <si>
    <t>May 8, 1982</t>
  </si>
  <si>
    <t>Sindangan, Zamboanga del Norte</t>
  </si>
  <si>
    <t>PNM 6547</t>
  </si>
  <si>
    <t>Apr. 27, 1961</t>
  </si>
  <si>
    <t>Buhisan Dam, Buhisan, Cebu City</t>
  </si>
  <si>
    <t>PNM 15144</t>
  </si>
  <si>
    <t>PNM 11665</t>
  </si>
  <si>
    <t>Apr. 7, 1969</t>
  </si>
  <si>
    <t>Buluan, Calbiga, Samar</t>
  </si>
  <si>
    <t>PNM 15145</t>
  </si>
  <si>
    <t>PNM 4239</t>
  </si>
  <si>
    <t>May 24, 1953</t>
  </si>
  <si>
    <t>Los Banos, Laguna</t>
  </si>
  <si>
    <t>PNM 11676</t>
  </si>
  <si>
    <t>Apr. 13, 1969</t>
  </si>
  <si>
    <t>PNM 6458</t>
  </si>
  <si>
    <t>Jul. 19, 1961</t>
  </si>
  <si>
    <t>PNM 17119</t>
  </si>
  <si>
    <t>Apr. 1, 1993</t>
  </si>
  <si>
    <t>Mt. Maka-Ayat, Sitio Malamboon, Malabog, Paguibata District, Davao City</t>
  </si>
  <si>
    <t>PNM 6645</t>
  </si>
  <si>
    <t>Jul. 25, 1961</t>
  </si>
  <si>
    <t>Anahon, Misamis Oriental</t>
  </si>
  <si>
    <t>PNM 15139</t>
  </si>
  <si>
    <t>Feb. 24, 1976</t>
  </si>
  <si>
    <t>Alumar, Jetafe, Bohol</t>
  </si>
  <si>
    <t>PNM 18129</t>
  </si>
  <si>
    <t>PNM 11674</t>
  </si>
  <si>
    <t>PNM 18198</t>
  </si>
  <si>
    <t>Apr. 30, 1995</t>
  </si>
  <si>
    <t>Tanjong, Jolo, Sulu</t>
  </si>
  <si>
    <t>PNM 15142</t>
  </si>
  <si>
    <t>Mar. 1, 1976</t>
  </si>
  <si>
    <t>PNM 3084</t>
  </si>
  <si>
    <t>Nov. 14, 1947</t>
  </si>
  <si>
    <t>Lamao, Bataan</t>
  </si>
  <si>
    <t>PNM 12697</t>
  </si>
  <si>
    <t>Dec. 2, 1970</t>
  </si>
  <si>
    <t>Macutay, Kalinga, Apayao</t>
  </si>
  <si>
    <t>PNM 599</t>
  </si>
  <si>
    <t>Dec. 6, 1946</t>
  </si>
  <si>
    <t>Bugasan, Parang, Cotabato</t>
  </si>
  <si>
    <t>PNM 6546</t>
  </si>
  <si>
    <t>Jun. 22, 1961</t>
  </si>
  <si>
    <t>PNM 15141</t>
  </si>
  <si>
    <t>PNM 4084</t>
  </si>
  <si>
    <t>May 12, 1952</t>
  </si>
  <si>
    <t>Katipunan, Miatan, Zamboanga</t>
  </si>
  <si>
    <t>PNM 13948</t>
  </si>
  <si>
    <t>Feb. 1972</t>
  </si>
  <si>
    <t>San Antonio, Santa Cruz, Marinduque</t>
  </si>
  <si>
    <t>PNM 2182</t>
  </si>
  <si>
    <t>May 9, 1948</t>
  </si>
  <si>
    <t>Sitio Cadapnan, Barrio Bantayan, Oras, Samar</t>
  </si>
  <si>
    <t>PNM 6228</t>
  </si>
  <si>
    <t>Sept. 27, 1961</t>
  </si>
  <si>
    <t>La Mesa Dam Reservation, Novaliches, Quezon City</t>
  </si>
  <si>
    <t>NO DATA</t>
  </si>
  <si>
    <t>PNM 16629</t>
  </si>
  <si>
    <t>Mar. 27, 1988</t>
  </si>
  <si>
    <t>Base Camp, Catanduanes</t>
  </si>
  <si>
    <t>PNM 10627</t>
  </si>
  <si>
    <t>Jun. 9, 1969</t>
  </si>
  <si>
    <t>Balay, Catanduanes</t>
  </si>
  <si>
    <t>PNM 7580</t>
  </si>
  <si>
    <t>Aug. 6, 1963</t>
  </si>
  <si>
    <t>Calatagan, Batangas</t>
  </si>
  <si>
    <t>PNM 2807</t>
  </si>
  <si>
    <t>Feb. 9, 1949</t>
  </si>
  <si>
    <t>National Museum Compound, Manila</t>
  </si>
  <si>
    <t>PNM 8359</t>
  </si>
  <si>
    <t>Jun. 3, 1966</t>
  </si>
  <si>
    <t>PNM 2482</t>
  </si>
  <si>
    <t>NO DATE</t>
  </si>
  <si>
    <t>Burgos, Tayabas</t>
  </si>
  <si>
    <t>PNM 16011</t>
  </si>
  <si>
    <t>Pycnonotus goiavier</t>
  </si>
  <si>
    <t>PNM 16639</t>
  </si>
  <si>
    <t>Mar. 29, 1988</t>
  </si>
  <si>
    <t>PNM 11769</t>
  </si>
  <si>
    <t>May 1, 1970</t>
  </si>
  <si>
    <t>Nabaluto, Mt. Borak, Samar</t>
  </si>
  <si>
    <t>PNM 40</t>
  </si>
  <si>
    <t>Nov. 28, 1945</t>
  </si>
  <si>
    <t>Manila, Philippines</t>
  </si>
  <si>
    <t>PNM 12842</t>
  </si>
  <si>
    <t>Jul. 23, 1971</t>
  </si>
  <si>
    <t>San Jacinto, Masbate</t>
  </si>
  <si>
    <t>PNM 4683</t>
  </si>
  <si>
    <t>May 15, 1954</t>
  </si>
  <si>
    <t>Sibuyan Island, Romblon</t>
  </si>
  <si>
    <t>PNM 1292</t>
  </si>
  <si>
    <t>Oct. 6, 1947</t>
  </si>
  <si>
    <t>Malayas, Naujan, Mindoro</t>
  </si>
  <si>
    <t>PNM 10943</t>
  </si>
  <si>
    <t>Aug. 18, 1971</t>
  </si>
  <si>
    <t>PNM 4681</t>
  </si>
  <si>
    <t>PNM (?)</t>
  </si>
  <si>
    <t>PNM 1294</t>
  </si>
  <si>
    <t>Oct. 13, 1947</t>
  </si>
  <si>
    <t>PNM 2184</t>
  </si>
  <si>
    <t>Jun. 4, 1948</t>
  </si>
  <si>
    <t>Tagaslian, Borongan, Samar</t>
  </si>
  <si>
    <t>PNM 16945</t>
  </si>
  <si>
    <t>Aug 17, 1991</t>
  </si>
  <si>
    <t>Belen, Rosal, Libacao, Aklan</t>
  </si>
  <si>
    <t>PNM 10629</t>
  </si>
  <si>
    <t>May 18, 1968</t>
  </si>
  <si>
    <t>Duguitao, Virac, Catanduanes</t>
  </si>
  <si>
    <t>PNM 2187</t>
  </si>
  <si>
    <t>Jun. 7, 1948</t>
  </si>
  <si>
    <t>PNM 15226</t>
  </si>
  <si>
    <t>May 15, 1976</t>
  </si>
  <si>
    <t>Masalukot, Sta. Cruz, Marinduque</t>
  </si>
  <si>
    <t>PNM 9730</t>
  </si>
  <si>
    <t>Apr. 7, 1965</t>
  </si>
  <si>
    <t>Western Slope of Mt. Calaviti, Palauan, Occidental Mindoro</t>
  </si>
  <si>
    <t>PNM 2181</t>
  </si>
  <si>
    <t>May 8, 1948</t>
  </si>
  <si>
    <t>PNM 16868</t>
  </si>
  <si>
    <t>Jul. 11, 1991</t>
  </si>
  <si>
    <t>PNM 16005</t>
  </si>
  <si>
    <t>PNM 10631</t>
  </si>
  <si>
    <t>Jun. 17, 1969</t>
  </si>
  <si>
    <t>San Pedro, Gigmoto, Catanduanes</t>
  </si>
  <si>
    <t>PNM 16780</t>
  </si>
  <si>
    <t>Jun. 24, 1990</t>
  </si>
  <si>
    <t>Bongabong, Tabaco, Albay</t>
  </si>
  <si>
    <t>PNM 1288</t>
  </si>
  <si>
    <t>Badok, Naujan, Mindoro</t>
  </si>
  <si>
    <t>PNM 16382</t>
  </si>
  <si>
    <t>Mar. 13, 1987</t>
  </si>
  <si>
    <t>Jamindang, Libacao, Aklan</t>
  </si>
  <si>
    <t>PNM 13947</t>
  </si>
  <si>
    <t>PNM 15938</t>
  </si>
  <si>
    <t>Jun. 21, 1981</t>
  </si>
  <si>
    <t>Bolinao, Pangasinan</t>
  </si>
  <si>
    <t>Apr. 23, 1963</t>
  </si>
  <si>
    <t>Dreamland, Gingoog, Mindoro</t>
  </si>
  <si>
    <t>PNM 15140</t>
  </si>
  <si>
    <t>Feb. 25, 1976</t>
  </si>
  <si>
    <t>PNM 4590</t>
  </si>
  <si>
    <t>Jan. 31, 1954</t>
  </si>
  <si>
    <t>Cotabato, Mindanao</t>
  </si>
  <si>
    <t>PNM 10195</t>
  </si>
  <si>
    <t>May 26, 1967</t>
  </si>
  <si>
    <t>Mt. Kitanglad, Malaybalay, Bukidnon</t>
  </si>
  <si>
    <t>PNM 11666</t>
  </si>
  <si>
    <t>PNM 11685</t>
  </si>
  <si>
    <t>Apr. 14, 1969</t>
  </si>
  <si>
    <t>PNM 19761</t>
  </si>
  <si>
    <t>Nov. 7, 2003</t>
  </si>
  <si>
    <t>PNM 16225</t>
  </si>
  <si>
    <t>May 16, 1982</t>
  </si>
  <si>
    <t>Sundangan, Zamboanga del Norte</t>
  </si>
  <si>
    <t>PNM 7251</t>
  </si>
  <si>
    <t>Mt. Kapiagan, Misamis Oriental</t>
  </si>
  <si>
    <t>PNM 15935</t>
  </si>
  <si>
    <t>Jun. 19, 1981</t>
  </si>
  <si>
    <t>PNM 6646</t>
  </si>
  <si>
    <t>Jul. 9, 1961</t>
  </si>
  <si>
    <t>Bo. Cevalig, Misamis Oriental</t>
  </si>
  <si>
    <t>PNM 4085</t>
  </si>
  <si>
    <t>May 29, 1952</t>
  </si>
  <si>
    <t>PNM 15224</t>
  </si>
  <si>
    <t>May 16, 1976</t>
  </si>
  <si>
    <t>PNM 11675</t>
  </si>
  <si>
    <t>PNM 15143</t>
  </si>
  <si>
    <t>PNM 10628</t>
  </si>
  <si>
    <t>May 19, 1968</t>
  </si>
  <si>
    <t>PNM 12999</t>
  </si>
  <si>
    <t>May 27, 1972</t>
  </si>
  <si>
    <t>Solano, Cagayan</t>
  </si>
  <si>
    <t>PNM 16234</t>
  </si>
  <si>
    <t>Nov. 9, 1982</t>
  </si>
  <si>
    <t>Dalton, Cagayan Valley</t>
  </si>
  <si>
    <t>PNM 15147</t>
  </si>
  <si>
    <t>PNM 6545</t>
  </si>
  <si>
    <t>PNM 5870</t>
  </si>
  <si>
    <t>Oct. 17, 1958</t>
  </si>
  <si>
    <t>Matabungkay, Lian, Batangas</t>
  </si>
  <si>
    <t>PNM 12939</t>
  </si>
  <si>
    <t>Feb. 27, 1971</t>
  </si>
  <si>
    <t>Nabbutuan, Solano, Cagayan</t>
  </si>
  <si>
    <t>PNM 3865</t>
  </si>
  <si>
    <t>Jan. 14, 1951</t>
  </si>
  <si>
    <t>Abra de Ilog, Mindoro</t>
  </si>
  <si>
    <t>PNM 15937</t>
  </si>
  <si>
    <t>Jun. 20, 1981</t>
  </si>
  <si>
    <t>PNM 3077</t>
  </si>
  <si>
    <t>Nov. 10, 1947</t>
  </si>
  <si>
    <t>PNM 16007</t>
  </si>
  <si>
    <t>PNM 15936</t>
  </si>
  <si>
    <t>PNM 3088</t>
  </si>
  <si>
    <t>Nov. 18, 1947</t>
  </si>
  <si>
    <t>PNM 1415</t>
  </si>
  <si>
    <t>Mar. 9, 1948</t>
  </si>
  <si>
    <t>Kabayan, Benguet</t>
  </si>
  <si>
    <t>PNM 14272</t>
  </si>
  <si>
    <t>Mar. 12, 1974</t>
  </si>
  <si>
    <t>Tres Reyes Island, Marinduque</t>
  </si>
  <si>
    <t>PNM 16106</t>
  </si>
  <si>
    <t>Dec. 3, 1982</t>
  </si>
  <si>
    <t>Tamurong Primero, Candon, Ilocos Sur</t>
  </si>
  <si>
    <t>PNM 13945</t>
  </si>
  <si>
    <t>PNM 16010</t>
  </si>
  <si>
    <t>PNM 10879</t>
  </si>
  <si>
    <t>May 30, 1971</t>
  </si>
  <si>
    <t>Mabini, Catanduanes</t>
  </si>
  <si>
    <t>PNM 11625</t>
  </si>
  <si>
    <t>Jun. 5, 1968</t>
  </si>
  <si>
    <t>Guinacutan, Labo, Camarines Norte</t>
  </si>
  <si>
    <t>PNM 16787</t>
  </si>
  <si>
    <t>Jun. 27, 1990</t>
  </si>
  <si>
    <t>PNM 7738</t>
  </si>
  <si>
    <t>May 25, 1961</t>
  </si>
  <si>
    <t>San Mariano, Bo. Disulap, Sitio Lapac, Isabela</t>
  </si>
  <si>
    <t>PNM 16946</t>
  </si>
  <si>
    <t>Aug. 17, 1991</t>
  </si>
  <si>
    <t>PNM 10626</t>
  </si>
  <si>
    <t>PNM 4852</t>
  </si>
  <si>
    <t>May 23, 1954</t>
  </si>
  <si>
    <t>Tablas Island, Romblon</t>
  </si>
  <si>
    <t>PNM 13946</t>
  </si>
  <si>
    <t>PNM 3093</t>
  </si>
  <si>
    <t>Dec. 9, 1947</t>
  </si>
  <si>
    <t>PNM 10980</t>
  </si>
  <si>
    <t>Apr. 3, 1972</t>
  </si>
  <si>
    <t>Romblon Province</t>
  </si>
  <si>
    <t>PNM 2179</t>
  </si>
  <si>
    <t>May 3, 1948</t>
  </si>
  <si>
    <t>PNM 4850</t>
  </si>
  <si>
    <t>May 19, 1954</t>
  </si>
  <si>
    <t>PNM 2185</t>
  </si>
  <si>
    <t>PNM 16214</t>
  </si>
  <si>
    <t>Nov. 10, 1982</t>
  </si>
  <si>
    <t>PNM 3081</t>
  </si>
  <si>
    <t>PNM 2178</t>
  </si>
  <si>
    <t>Apr. 30, 1948</t>
  </si>
  <si>
    <t>PNM 3079</t>
  </si>
  <si>
    <t>PNM 4284</t>
  </si>
  <si>
    <t>Jun. 11, 1953</t>
  </si>
  <si>
    <t>Novaliches, Rizal</t>
  </si>
  <si>
    <t>PNM 11623</t>
  </si>
  <si>
    <t>PNM 16784</t>
  </si>
  <si>
    <t>Jun. 26, 1990</t>
  </si>
  <si>
    <t>PNM 39</t>
  </si>
  <si>
    <t>Nov. 23, 1945</t>
  </si>
  <si>
    <t>PNM 16157</t>
  </si>
  <si>
    <t>Feb. 24, 1985</t>
  </si>
  <si>
    <t>Pao, Burgos, Ilocos Norte</t>
  </si>
  <si>
    <t>PNM 11779</t>
  </si>
  <si>
    <t>Aug. 17, 1969</t>
  </si>
  <si>
    <t>Tumis, Villa Norte, Alabot, Quezon</t>
  </si>
  <si>
    <t>PNM 2188</t>
  </si>
  <si>
    <t>NO PNM</t>
  </si>
  <si>
    <t>Mar. 28, 1988</t>
  </si>
  <si>
    <t>Catanduanes</t>
  </si>
  <si>
    <t>PNM 219</t>
  </si>
  <si>
    <t>May 23, 1946</t>
  </si>
  <si>
    <t>Massisiat, Abra</t>
  </si>
  <si>
    <t>PNM 16785</t>
  </si>
  <si>
    <t>PNM 3089</t>
  </si>
  <si>
    <t>Nov. 29, 1947</t>
  </si>
  <si>
    <t>PNM 12843</t>
  </si>
  <si>
    <t>Jul. 26, 1971</t>
  </si>
  <si>
    <t>So. Caidi Danao, San Jacinto, Masbate</t>
  </si>
  <si>
    <t>PNM 12731</t>
  </si>
  <si>
    <t>Dec. 11, 1970</t>
  </si>
  <si>
    <t>PNM 12937</t>
  </si>
  <si>
    <t>Feb. 19, 1971</t>
  </si>
  <si>
    <t>PNM 16847</t>
  </si>
  <si>
    <t>Jul. 9, 1991</t>
  </si>
  <si>
    <t>PNM 16220</t>
  </si>
  <si>
    <t>Nov. 19, 1982</t>
  </si>
  <si>
    <t>Tuguegarao, Cagayan Valley</t>
  </si>
  <si>
    <t>PNM 3083</t>
  </si>
  <si>
    <t>PNM 1414</t>
  </si>
  <si>
    <t>Mar. 8, 1948</t>
  </si>
  <si>
    <t>PNM 16215</t>
  </si>
  <si>
    <t>May 6, 1982</t>
  </si>
  <si>
    <t>PNM 220</t>
  </si>
  <si>
    <t>PNM 14162</t>
  </si>
  <si>
    <t>May 30, 1972</t>
  </si>
  <si>
    <t>Mamara, Occidental Mindoro</t>
  </si>
  <si>
    <t>PNM 12734</t>
  </si>
  <si>
    <t>Dec 10, 1970</t>
  </si>
  <si>
    <t>Jun. 9, 1953</t>
  </si>
  <si>
    <t>PNM 11756</t>
  </si>
  <si>
    <t>May 18, 1970</t>
  </si>
  <si>
    <t>San Rafael, Taft, Samar</t>
  </si>
  <si>
    <t>PNM 1285</t>
  </si>
  <si>
    <t>PNM 2180</t>
  </si>
  <si>
    <t>May 4, 1948</t>
  </si>
  <si>
    <t>PNM 2186</t>
  </si>
  <si>
    <t>PNM 1284</t>
  </si>
  <si>
    <t>Sept. 29, 1947</t>
  </si>
  <si>
    <t>Boliran, Naujan, Mindoro</t>
  </si>
  <si>
    <t>PNM 13944</t>
  </si>
  <si>
    <t>PNM 12887</t>
  </si>
  <si>
    <t>Andarayan, Solano, Cagayan</t>
  </si>
  <si>
    <t>PNM 1965</t>
  </si>
  <si>
    <t>Aug. 4, 2005</t>
  </si>
  <si>
    <t>Sitio Gugo, Pambuhan, Perez, Quezon Province</t>
  </si>
  <si>
    <t>PNM 16379</t>
  </si>
  <si>
    <t>Mar. 12, 1987</t>
  </si>
  <si>
    <t>PNM 1291</t>
  </si>
  <si>
    <t>PNM 12730</t>
  </si>
  <si>
    <t>Dec. 9, 1970</t>
  </si>
  <si>
    <t>PNM 10880</t>
  </si>
  <si>
    <t>Jun. 1, 1971</t>
  </si>
  <si>
    <t>Mabini, Viga, Catanduanes</t>
  </si>
  <si>
    <t>PNM 11736</t>
  </si>
  <si>
    <t>Mabaluto, Llorente, Samar</t>
  </si>
  <si>
    <t>PNM 11836</t>
  </si>
  <si>
    <t>Aug. 28, 1969</t>
  </si>
  <si>
    <t>San Pedro, Panganiban, Camarines Norte</t>
  </si>
  <si>
    <t>PNM 15392</t>
  </si>
  <si>
    <t>Apr. 24, 1977</t>
  </si>
  <si>
    <t>Talipanan, Puerto Galera</t>
  </si>
  <si>
    <t>PNM 16155</t>
  </si>
  <si>
    <t>PNM 10630</t>
  </si>
  <si>
    <t>Jun. 11, 1969</t>
  </si>
  <si>
    <t>Luzong, Virac, Catanduanes</t>
  </si>
  <si>
    <t>PNM 221</t>
  </si>
  <si>
    <t>PNM 1289</t>
  </si>
  <si>
    <t>PNM 8358</t>
  </si>
  <si>
    <t>May 29, 1966</t>
  </si>
  <si>
    <t>PNM 15227</t>
  </si>
  <si>
    <t>May 17, 1976</t>
  </si>
  <si>
    <t>PNM 1286</t>
  </si>
  <si>
    <t>Mar. 13, 1984</t>
  </si>
  <si>
    <t>Maradodon, Cabuyao, Ilocos Sur</t>
  </si>
  <si>
    <t>PNM 16849</t>
  </si>
  <si>
    <t>Dabo, Poncas Island, Siargao, Surigao</t>
  </si>
  <si>
    <t>PNM 1287</t>
  </si>
  <si>
    <t>PNM 12700</t>
  </si>
  <si>
    <t>PNM 11651</t>
  </si>
  <si>
    <t>Apr. 1, 1969</t>
  </si>
  <si>
    <t>PNM 10882</t>
  </si>
  <si>
    <t>May 30. 1971</t>
  </si>
  <si>
    <t>PNM 11664</t>
  </si>
  <si>
    <t>PNM 12733</t>
  </si>
  <si>
    <t>Dec. 10, 1970</t>
  </si>
  <si>
    <t>PNM 16630</t>
  </si>
  <si>
    <t>PNM 4393</t>
  </si>
  <si>
    <t>Jun. 21, 1953</t>
  </si>
  <si>
    <t>San Jose, Mindoro</t>
  </si>
  <si>
    <t>PNM 13575</t>
  </si>
  <si>
    <t>Jul. 20, 1961</t>
  </si>
  <si>
    <t>Mt. Lobi, Bo. Patok, Dagami, Leyte</t>
  </si>
  <si>
    <t>Philippines</t>
  </si>
  <si>
    <t>Your name cc. RC Urriza</t>
  </si>
  <si>
    <t>Hypsipetes everetti</t>
  </si>
  <si>
    <t>PNM 2216</t>
  </si>
  <si>
    <t>Jun. 20, 1948</t>
  </si>
  <si>
    <t>RB Perez</t>
  </si>
  <si>
    <t>Hypsipetes rufigularis</t>
  </si>
  <si>
    <t>PNM 11762</t>
  </si>
  <si>
    <t>May 21, 1970</t>
  </si>
  <si>
    <t>PNM 11744</t>
  </si>
  <si>
    <t>May 9, 1970</t>
  </si>
  <si>
    <t>Tipawala, Llorente, Samar</t>
  </si>
  <si>
    <t>PNM 11657</t>
  </si>
  <si>
    <t>Apr. 2, 1969</t>
  </si>
  <si>
    <t>PNM 13588</t>
  </si>
  <si>
    <t>Aug. 10, 1961</t>
  </si>
  <si>
    <t>PNM 2214</t>
  </si>
  <si>
    <t>Jun. 17, 1948</t>
  </si>
  <si>
    <t>PNM 7256</t>
  </si>
  <si>
    <t>Apr. 24, 1963</t>
  </si>
  <si>
    <t>PNM 3392</t>
  </si>
  <si>
    <t>Apr. 18, 1949</t>
  </si>
  <si>
    <t>Limot, Mati, Davao</t>
  </si>
  <si>
    <t>PNM 11753</t>
  </si>
  <si>
    <t>May 17, 1970</t>
  </si>
  <si>
    <t>PNM 6075</t>
  </si>
  <si>
    <t>May 23, 1959</t>
  </si>
  <si>
    <t>Makiwalo, Catarman, Samar</t>
  </si>
  <si>
    <t>PNM 3390</t>
  </si>
  <si>
    <t>Mar. 24, 1949</t>
  </si>
  <si>
    <t>Mt. Kampalili, Mati, Davao</t>
  </si>
  <si>
    <t>PNM 607</t>
  </si>
  <si>
    <t>Oct. 17, 1946</t>
  </si>
  <si>
    <t>Taglawig, Tagum, Davao</t>
  </si>
  <si>
    <t>PNM 609</t>
  </si>
  <si>
    <t>Jan. 7, 1947</t>
  </si>
  <si>
    <t>Burungkot, Upi, Cotabato</t>
  </si>
  <si>
    <t>MSU 48786</t>
  </si>
  <si>
    <t>Jun. 11, 1968</t>
  </si>
  <si>
    <t xml:space="preserve">Casangsangan, Catarman, Camiguin </t>
  </si>
  <si>
    <t>PNM 11755</t>
  </si>
  <si>
    <t>PNM 11720</t>
  </si>
  <si>
    <t>Apr. 13, 1970</t>
  </si>
  <si>
    <t>Southern Samar Agricultural College</t>
  </si>
  <si>
    <t>PNM 7260</t>
  </si>
  <si>
    <t>May 11, 1963</t>
  </si>
  <si>
    <t>PNM 11764</t>
  </si>
  <si>
    <t>May 27, 1970</t>
  </si>
  <si>
    <t>PNM 18319</t>
  </si>
  <si>
    <t>May 1, 1991</t>
  </si>
  <si>
    <t>Brgy. Marang Marang, Languyan, Tawi-Tawi</t>
  </si>
  <si>
    <t>PNM 11754</t>
  </si>
  <si>
    <t>May 19,1970</t>
  </si>
  <si>
    <t>PNM 11759</t>
  </si>
  <si>
    <t>May 20, 1970</t>
  </si>
  <si>
    <t>PNM 13583</t>
  </si>
  <si>
    <t>Aug. 1, 1961</t>
  </si>
  <si>
    <t>PNM 2211</t>
  </si>
  <si>
    <t>Jun 6, 1948</t>
  </si>
  <si>
    <t>PNM 13576</t>
  </si>
  <si>
    <t>Jul 26, 1961</t>
  </si>
  <si>
    <t>PNM 2215</t>
  </si>
  <si>
    <t>Jul 18, 1948</t>
  </si>
  <si>
    <t>Loquilocon, Wright, Samar</t>
  </si>
  <si>
    <t>PNM 13582</t>
  </si>
  <si>
    <t>Jul. 31, 1961</t>
  </si>
  <si>
    <t xml:space="preserve">Hypsipetes everetti </t>
  </si>
  <si>
    <t>PNM 2210</t>
  </si>
  <si>
    <t>PNM 13584</t>
  </si>
  <si>
    <t>PNM 11684</t>
  </si>
  <si>
    <t>PNM 13581</t>
  </si>
  <si>
    <t>PNM 11740</t>
  </si>
  <si>
    <t>May 2, 1970</t>
  </si>
  <si>
    <t>Mt. Nabaluto, Llorente, Samar</t>
  </si>
  <si>
    <t>PNM 7257</t>
  </si>
  <si>
    <t>Apr. 28, 1963</t>
  </si>
  <si>
    <t>PNM 11766</t>
  </si>
  <si>
    <t>May 28, 1970</t>
  </si>
  <si>
    <t>PNM 11663</t>
  </si>
  <si>
    <t>PNM 17096</t>
  </si>
  <si>
    <t>Mar. 16, 1993</t>
  </si>
  <si>
    <t>Panamaon, Sn. Ramon, Loreto, Dinagat Is., Surigao</t>
  </si>
  <si>
    <t>PNM 17111</t>
  </si>
  <si>
    <t>Mar. 21, 1993</t>
  </si>
  <si>
    <t>Mt. Kalangugan, Brgy. Esperanza, Dinagat Is., Surigao</t>
  </si>
  <si>
    <t>PNM 17103</t>
  </si>
  <si>
    <t>Mar. 17, 1993</t>
  </si>
  <si>
    <t>PNM 3391</t>
  </si>
  <si>
    <t>PNM 18315</t>
  </si>
  <si>
    <t>Apr. 30, 1991</t>
  </si>
  <si>
    <t>PNM 13585</t>
  </si>
  <si>
    <t>Aug. 7, 1961</t>
  </si>
  <si>
    <t>PNM 11656</t>
  </si>
  <si>
    <t>PNM 13578</t>
  </si>
  <si>
    <t>Jul. 26, 1961</t>
  </si>
  <si>
    <t>PNM 11690</t>
  </si>
  <si>
    <t>Apr. 21, 1969</t>
  </si>
  <si>
    <t>Baswood, Basey, Samar</t>
  </si>
  <si>
    <t>PNM 11691</t>
  </si>
  <si>
    <t>May 2, 1969</t>
  </si>
  <si>
    <t>Kasarawagan, Basey, Samar</t>
  </si>
  <si>
    <t>Mt. Pangasungan, Vista Bay-bay, Leyte</t>
  </si>
  <si>
    <t>PNM 7255</t>
  </si>
  <si>
    <t>Apr. 22, 1963</t>
  </si>
  <si>
    <t>PNM 11661</t>
  </si>
  <si>
    <t>Apr. 5, 1969</t>
  </si>
  <si>
    <t>PNM 7261</t>
  </si>
  <si>
    <t>May 12, 1963</t>
  </si>
  <si>
    <t xml:space="preserve"> PNM (?)</t>
  </si>
  <si>
    <t>Aug. 12, 1961</t>
  </si>
  <si>
    <t>PNM 610</t>
  </si>
  <si>
    <t>PNM 13579</t>
  </si>
  <si>
    <t>Aug. 3, 1961</t>
  </si>
  <si>
    <t>PNM 7259</t>
  </si>
  <si>
    <t>May 10, 1963</t>
  </si>
  <si>
    <t>PNM 11689</t>
  </si>
  <si>
    <t>PNM 11721</t>
  </si>
  <si>
    <t>PNM 7258</t>
  </si>
  <si>
    <t>May 9, 1963</t>
  </si>
  <si>
    <t>PNM 13577</t>
  </si>
  <si>
    <t>Jul. 23, 1961</t>
  </si>
  <si>
    <t>PNM 11660</t>
  </si>
  <si>
    <t>PNM 2212</t>
  </si>
  <si>
    <t>PNM 11739</t>
  </si>
  <si>
    <t>May 2/20, 1970</t>
  </si>
  <si>
    <t>Mt. Nabaluto Llorente</t>
  </si>
  <si>
    <t>PNM 608</t>
  </si>
  <si>
    <t>Jan. 3, 1947</t>
  </si>
  <si>
    <t>MSU 48338</t>
  </si>
  <si>
    <t>Jun. 15, 1969</t>
  </si>
  <si>
    <t>Mt. Timpong, Matognao, Mahinog, Camiguin</t>
  </si>
  <si>
    <t>MSU 48324</t>
  </si>
  <si>
    <t>Jun. 16, 1969</t>
  </si>
  <si>
    <t>MSU 48350</t>
  </si>
  <si>
    <t>PNM 13587</t>
  </si>
  <si>
    <t>PNM 13580</t>
  </si>
  <si>
    <t>Aug. 2, 1961</t>
  </si>
  <si>
    <t>MSU 55054</t>
  </si>
  <si>
    <t>Jun. 21, 1968</t>
  </si>
  <si>
    <t>Mt. Catarman, Catarman, Camiguin</t>
  </si>
  <si>
    <t>PNM 16400</t>
  </si>
  <si>
    <t>Mar. 10, 1987</t>
  </si>
  <si>
    <t>PNM 13574</t>
  </si>
  <si>
    <t>MSU 48767</t>
  </si>
  <si>
    <t>Jun. 19, 1968</t>
  </si>
  <si>
    <t>PNM 7945</t>
  </si>
  <si>
    <t>May 16, 1962</t>
  </si>
  <si>
    <t>Mt. Talakahigan, Aborlan, Palawan</t>
  </si>
  <si>
    <t>PNM 13140</t>
  </si>
  <si>
    <t>Mt. Borangbato, Brook's Pt., Palawan</t>
  </si>
  <si>
    <t>PNM 3608</t>
  </si>
  <si>
    <t>May 12, 1950</t>
  </si>
  <si>
    <t>Panakan, Aborlan, Palawan</t>
  </si>
  <si>
    <t>PNM 7021</t>
  </si>
  <si>
    <t>May 3, 1963</t>
  </si>
  <si>
    <t>Bo. Kabawingan, Quezon, Palawan</t>
  </si>
  <si>
    <t>PNM 8620</t>
  </si>
  <si>
    <t>Feb. 26, 1967</t>
  </si>
  <si>
    <t>Mt. Victoria, Sitio Mariwara, Aborlan, Palawan</t>
  </si>
  <si>
    <t>PNM 8829</t>
  </si>
  <si>
    <t>Mar. 29.1967</t>
  </si>
  <si>
    <t>Mt. Stavely, Iwahig, Palawan</t>
  </si>
  <si>
    <t>PNM 8619</t>
  </si>
  <si>
    <t>Feb. 24, 1967</t>
  </si>
  <si>
    <t>PNM 3607</t>
  </si>
  <si>
    <t>May 10, 1950</t>
  </si>
  <si>
    <t>PNM 9126</t>
  </si>
  <si>
    <t>Mar. 16, 1968</t>
  </si>
  <si>
    <t>Marble Mts., Cabayungan, Palawan</t>
  </si>
  <si>
    <t>PNM 8827</t>
  </si>
  <si>
    <t>Mar. 29, 1967</t>
  </si>
  <si>
    <t>PNM 9123</t>
  </si>
  <si>
    <t>Feb. 27, 1968</t>
  </si>
  <si>
    <t>Binduyan, Babuyan, Palawan</t>
  </si>
  <si>
    <t>PNM 13143</t>
  </si>
  <si>
    <t>Apr. 18, 1971</t>
  </si>
  <si>
    <t>PNM 7022</t>
  </si>
  <si>
    <t>May 5, 1963</t>
  </si>
  <si>
    <t>PNM 7023</t>
  </si>
  <si>
    <t>Sitio Ginaugan, Quezon, Palawan</t>
  </si>
  <si>
    <t>PNM 13141</t>
  </si>
  <si>
    <t>Apr. 7, 1971</t>
  </si>
  <si>
    <t>PNM 7019</t>
  </si>
  <si>
    <t>May 2, 1963</t>
  </si>
  <si>
    <t>PNM 8825</t>
  </si>
  <si>
    <t>Mar. 14, 1967</t>
  </si>
  <si>
    <t>Mt. Victoria, Aborlan, Palawan</t>
  </si>
  <si>
    <t>PNM 8828</t>
  </si>
  <si>
    <t>Mar. 29,1967</t>
  </si>
  <si>
    <t>PNM 8621</t>
  </si>
  <si>
    <t>Feb 26, 1967</t>
  </si>
  <si>
    <t>PNM 9125</t>
  </si>
  <si>
    <t>Feb. 28, 1968</t>
  </si>
  <si>
    <t>PNM 6860</t>
  </si>
  <si>
    <t>Jan. 28, 1963</t>
  </si>
  <si>
    <t>Kabigaan, Aborlan, Palawan</t>
  </si>
  <si>
    <t>PNM 6859</t>
  </si>
  <si>
    <t>Jan. 21, 1963</t>
  </si>
  <si>
    <t>PNM 3606</t>
  </si>
  <si>
    <t>May 9, 1950</t>
  </si>
  <si>
    <t>PNM 8622</t>
  </si>
  <si>
    <t>Mar. 6, 1967</t>
  </si>
  <si>
    <t>Mt. Victoria, Boay CR., Aborlan, Palawan</t>
  </si>
  <si>
    <t>PNM 19624</t>
  </si>
  <si>
    <t>Jul. 20, 2004</t>
  </si>
  <si>
    <t>Daan Creek, So. Malinao, Brgy. Calumpang, Quezon, Palawan</t>
  </si>
  <si>
    <t>PNM 13138</t>
  </si>
  <si>
    <t>PNM 3605</t>
  </si>
  <si>
    <t>May 7, 1950</t>
  </si>
  <si>
    <t>PNM 1059</t>
  </si>
  <si>
    <t>Mar. 30, 1947</t>
  </si>
  <si>
    <t>Bacungan, Puerto Princesa, Palawan</t>
  </si>
  <si>
    <t>PNM 8618</t>
  </si>
  <si>
    <t>Feb. 22, 1967</t>
  </si>
  <si>
    <t>PNM 13142</t>
  </si>
  <si>
    <t>PNM 13139</t>
  </si>
  <si>
    <t>PNM 13137</t>
  </si>
  <si>
    <t>PNM 7020</t>
  </si>
  <si>
    <t>PNM 1057</t>
  </si>
  <si>
    <t>Mar. 25, 1947</t>
  </si>
  <si>
    <t>PNM 8824</t>
  </si>
  <si>
    <t>Mar. 13, 1967</t>
  </si>
  <si>
    <t>PNM 16085</t>
  </si>
  <si>
    <t>May 5, 1982</t>
  </si>
  <si>
    <t>Matalangan, Roxas, Palawan</t>
  </si>
  <si>
    <t>PNM 9124</t>
  </si>
  <si>
    <t>PNM 1706</t>
  </si>
  <si>
    <t>Mar. 29, 1948</t>
  </si>
  <si>
    <t>Basco, Batanes Island</t>
  </si>
  <si>
    <t>PNM 1700</t>
  </si>
  <si>
    <t>Mar. 24, 1948</t>
  </si>
  <si>
    <t>PNM 1701</t>
  </si>
  <si>
    <t>PNM 1684</t>
  </si>
  <si>
    <t>Mar 14, 1948</t>
  </si>
  <si>
    <t>PNM 1685</t>
  </si>
  <si>
    <t>PNM 1695</t>
  </si>
  <si>
    <t>Mar. 23, 1948</t>
  </si>
  <si>
    <t>PNM 1705</t>
  </si>
  <si>
    <t>PNM 1694</t>
  </si>
  <si>
    <t>Mar. 21, 1948</t>
  </si>
  <si>
    <t>PNM 1688</t>
  </si>
  <si>
    <t>Mar. 18, 1948</t>
  </si>
  <si>
    <t>PNM 1708</t>
  </si>
  <si>
    <t>Apr. 1, 1948</t>
  </si>
  <si>
    <t>PNM 1687</t>
  </si>
  <si>
    <t>Mar. 15, 1948</t>
  </si>
  <si>
    <t>PNM 1693</t>
  </si>
  <si>
    <t>Mar. 20, 1948</t>
  </si>
  <si>
    <t>PNM 1691</t>
  </si>
  <si>
    <t>PNM 1696</t>
  </si>
  <si>
    <t>PNM 1699</t>
  </si>
  <si>
    <t>PNM 1702</t>
  </si>
  <si>
    <t>Mar. 27, 1948</t>
  </si>
  <si>
    <t>PNM 1686</t>
  </si>
  <si>
    <t>Mar. 14, 1948</t>
  </si>
  <si>
    <t>PNM 1703</t>
  </si>
  <si>
    <t>Mar. 28, 1948</t>
  </si>
  <si>
    <t>PNM 1683</t>
  </si>
  <si>
    <t>Mar. 13, 1948</t>
  </si>
  <si>
    <t>PNM 1690</t>
  </si>
  <si>
    <t>PNM 1707</t>
  </si>
  <si>
    <t>Mar. 31, 1948</t>
  </si>
  <si>
    <t>PNM 1704</t>
  </si>
  <si>
    <t>Hypsipetes amaurotis</t>
  </si>
  <si>
    <t>Iole palawanensis</t>
  </si>
  <si>
    <t xml:space="preserve">NA 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</si>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</sst>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1"/>
      <color indexed="14"/>
      <name val="Calibri"/>
      <family val="2"/>
    </font>
    <font>
      <sz val="11"/>
      <color indexed="15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indexed="13"/>
        <bgColor auto="1"/>
      </patternFill>
    </fill>
    <fill>
      <patternFill patternType="solid">
        <fgColor indexed="16"/>
        <bgColor auto="1"/>
      </patternFill>
    </fill>
  </fills>
  <borders count="7">
    <border>
      <left/>
      <right/>
      <top/>
      <bottom/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 style="thin">
        <color indexed="12"/>
      </right>
      <top/>
      <bottom style="thin">
        <color indexed="12"/>
      </bottom>
      <diagonal/>
    </border>
    <border>
      <left/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49" fontId="0" fillId="0" borderId="1" xfId="0" applyNumberFormat="1" applyBorder="1"/>
    <xf numFmtId="49" fontId="1" fillId="0" borderId="1" xfId="0" applyNumberFormat="1" applyFont="1" applyBorder="1" applyAlignment="1">
      <alignment horizontal="left"/>
    </xf>
    <xf numFmtId="0" fontId="0" fillId="0" borderId="1" xfId="0" applyBorder="1"/>
    <xf numFmtId="49" fontId="2" fillId="0" borderId="1" xfId="0" applyNumberFormat="1" applyFont="1" applyBorder="1"/>
    <xf numFmtId="0" fontId="0" fillId="2" borderId="1" xfId="0" applyFill="1" applyBorder="1"/>
    <xf numFmtId="49" fontId="0" fillId="2" borderId="1" xfId="0" applyNumberFormat="1" applyFill="1" applyBorder="1"/>
    <xf numFmtId="49" fontId="1" fillId="2" borderId="1" xfId="0" applyNumberFormat="1" applyFont="1" applyFill="1" applyBorder="1"/>
    <xf numFmtId="49" fontId="0" fillId="2" borderId="1" xfId="0" applyNumberFormat="1" applyFill="1" applyBorder="1" applyAlignment="1">
      <alignment wrapText="1"/>
    </xf>
    <xf numFmtId="0" fontId="3" fillId="2" borderId="1" xfId="0" applyFont="1" applyFill="1" applyBorder="1"/>
    <xf numFmtId="0" fontId="0" fillId="2" borderId="1" xfId="0" applyFill="1" applyBorder="1" applyAlignment="1">
      <alignment horizontal="right"/>
    </xf>
    <xf numFmtId="49" fontId="2" fillId="2" borderId="1" xfId="0" applyNumberFormat="1" applyFont="1" applyFill="1" applyBorder="1"/>
    <xf numFmtId="49" fontId="0" fillId="2" borderId="2" xfId="0" applyNumberFormat="1" applyFill="1" applyBorder="1"/>
    <xf numFmtId="0" fontId="0" fillId="2" borderId="2" xfId="0" applyFill="1" applyBorder="1"/>
    <xf numFmtId="49" fontId="0" fillId="2" borderId="3" xfId="0" applyNumberFormat="1" applyFill="1" applyBorder="1"/>
    <xf numFmtId="0" fontId="0" fillId="2" borderId="3" xfId="0" applyFill="1" applyBorder="1"/>
    <xf numFmtId="49" fontId="2" fillId="2" borderId="3" xfId="0" applyNumberFormat="1" applyFont="1" applyFill="1" applyBorder="1"/>
    <xf numFmtId="49" fontId="2" fillId="2" borderId="4" xfId="0" applyNumberFormat="1" applyFont="1" applyFill="1" applyBorder="1"/>
    <xf numFmtId="49" fontId="2" fillId="2" borderId="2" xfId="0" applyNumberFormat="1" applyFont="1" applyFill="1" applyBorder="1"/>
    <xf numFmtId="49" fontId="0" fillId="2" borderId="5" xfId="0" applyNumberFormat="1" applyFill="1" applyBorder="1"/>
    <xf numFmtId="49" fontId="0" fillId="2" borderId="6" xfId="0" applyNumberFormat="1" applyFill="1" applyBorder="1"/>
    <xf numFmtId="49" fontId="0" fillId="2" borderId="0" xfId="0" applyNumberFormat="1" applyFill="1"/>
    <xf numFmtId="0" fontId="0" fillId="2" borderId="0" xfId="0" applyFill="1"/>
    <xf numFmtId="0" fontId="0" fillId="2" borderId="5" xfId="0" applyFill="1" applyBorder="1"/>
    <xf numFmtId="0" fontId="0" fillId="2" borderId="6" xfId="0" applyFill="1" applyBorder="1"/>
    <xf numFmtId="49" fontId="0" fillId="3" borderId="1" xfId="0" applyNumberFormat="1" applyFill="1" applyBorder="1" applyAlignment="1">
      <alignment wrapText="1"/>
    </xf>
    <xf numFmtId="49" fontId="0" fillId="2" borderId="4" xfId="0" applyNumberFormat="1" applyFill="1" applyBorder="1"/>
    <xf numFmtId="49" fontId="4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98283-9DAF-354D-BC02-6AC0978ED29E}">
  <dimension ref="A1:AC311"/>
  <sheetViews>
    <sheetView tabSelected="1" topLeftCell="H1" workbookViewId="0">
      <selection activeCell="O27" sqref="O27"/>
    </sheetView>
  </sheetViews>
  <sheetFormatPr baseColWidth="10" defaultColWidth="8.83203125" defaultRowHeight="16" x14ac:dyDescent="0.2"/>
  <cols>
    <col min="3" max="3" width="14.33203125" customWidth="1"/>
    <col min="4" max="4" width="41" customWidth="1"/>
    <col min="5" max="5" width="37.33203125" customWidth="1"/>
    <col min="6" max="6" width="15.1640625" customWidth="1"/>
    <col min="7" max="7" width="14.83203125" customWidth="1"/>
    <col min="8" max="8" width="65.83203125" customWidth="1"/>
    <col min="9" max="9" width="14.6640625" customWidth="1"/>
    <col min="11" max="11" width="18.33203125" customWidth="1"/>
    <col min="12" max="12" width="16.5" customWidth="1"/>
    <col min="13" max="13" width="11.5" customWidth="1"/>
    <col min="14" max="14" width="11" customWidth="1"/>
    <col min="15" max="15" width="12.5" customWidth="1"/>
    <col min="16" max="16" width="14.5" customWidth="1"/>
    <col min="17" max="17" width="17.1640625" customWidth="1"/>
    <col min="18" max="18" width="13.83203125" customWidth="1"/>
    <col min="19" max="20" width="12.83203125" customWidth="1"/>
    <col min="21" max="21" width="16.5" customWidth="1"/>
    <col min="22" max="22" width="14.33203125" customWidth="1"/>
  </cols>
  <sheetData>
    <row r="1" spans="1:29" ht="13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3"/>
      <c r="X1" s="3"/>
      <c r="Y1" s="3"/>
      <c r="Z1" s="3"/>
      <c r="AA1" s="3"/>
      <c r="AB1" s="3"/>
      <c r="AC1" s="3"/>
    </row>
    <row r="2" spans="1:29" ht="13.5" customHeight="1" x14ac:dyDescent="0.2">
      <c r="A2" s="3"/>
      <c r="B2" s="3"/>
      <c r="C2" s="3"/>
      <c r="D2" s="1" t="s">
        <v>144</v>
      </c>
      <c r="E2" s="3"/>
      <c r="F2" s="1" t="s">
        <v>22</v>
      </c>
      <c r="G2" s="1" t="s">
        <v>23</v>
      </c>
      <c r="H2" s="1" t="s">
        <v>24</v>
      </c>
      <c r="I2" s="1" t="s">
        <v>25</v>
      </c>
      <c r="J2" s="1" t="s">
        <v>26</v>
      </c>
      <c r="K2" s="3">
        <v>18.37</v>
      </c>
      <c r="L2" s="3">
        <v>10.07</v>
      </c>
      <c r="M2" s="3">
        <v>4.0199999999999996</v>
      </c>
      <c r="N2" s="3">
        <v>5.0199999999999996</v>
      </c>
      <c r="O2" s="3">
        <v>9.07</v>
      </c>
      <c r="P2" s="3">
        <v>20</v>
      </c>
      <c r="Q2" s="3">
        <v>10</v>
      </c>
      <c r="R2" s="3">
        <v>85</v>
      </c>
      <c r="S2" s="3">
        <v>84</v>
      </c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3.5" customHeight="1" x14ac:dyDescent="0.2">
      <c r="A3" s="3"/>
      <c r="B3" s="3"/>
      <c r="C3" s="3"/>
      <c r="D3" s="1" t="s">
        <v>144</v>
      </c>
      <c r="E3" s="3"/>
      <c r="F3" s="1" t="s">
        <v>27</v>
      </c>
      <c r="G3" s="1" t="s">
        <v>28</v>
      </c>
      <c r="H3" s="1" t="s">
        <v>29</v>
      </c>
      <c r="I3" s="1" t="s">
        <v>25</v>
      </c>
      <c r="J3" s="1" t="s">
        <v>30</v>
      </c>
      <c r="K3" s="3">
        <v>17.48</v>
      </c>
      <c r="L3" s="3">
        <v>9.33</v>
      </c>
      <c r="M3" s="3">
        <v>4.2300000000000004</v>
      </c>
      <c r="N3" s="3">
        <v>5.37</v>
      </c>
      <c r="O3" s="3">
        <v>9.8800000000000008</v>
      </c>
      <c r="P3" s="1" t="s">
        <v>684</v>
      </c>
      <c r="Q3" s="3">
        <v>8</v>
      </c>
      <c r="R3" s="3">
        <v>79</v>
      </c>
      <c r="S3" s="3">
        <v>78</v>
      </c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3.5" customHeight="1" x14ac:dyDescent="0.2">
      <c r="A4" s="3"/>
      <c r="B4" s="3"/>
      <c r="C4" s="3"/>
      <c r="D4" s="1" t="s">
        <v>144</v>
      </c>
      <c r="E4" s="3"/>
      <c r="F4" s="1" t="s">
        <v>31</v>
      </c>
      <c r="G4" s="1" t="s">
        <v>32</v>
      </c>
      <c r="H4" s="1" t="s">
        <v>33</v>
      </c>
      <c r="I4" s="1" t="s">
        <v>25</v>
      </c>
      <c r="J4" s="1" t="s">
        <v>30</v>
      </c>
      <c r="K4" s="3">
        <v>16.920000000000002</v>
      </c>
      <c r="L4" s="3">
        <v>9.19</v>
      </c>
      <c r="M4" s="3">
        <v>4.13</v>
      </c>
      <c r="N4" s="3">
        <v>4.79</v>
      </c>
      <c r="O4" s="3">
        <v>9.57</v>
      </c>
      <c r="P4" s="3">
        <v>21.03</v>
      </c>
      <c r="Q4" s="3">
        <v>8</v>
      </c>
      <c r="R4" s="3">
        <v>80</v>
      </c>
      <c r="S4" s="3">
        <v>76</v>
      </c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3.5" customHeight="1" x14ac:dyDescent="0.2">
      <c r="A5" s="3"/>
      <c r="B5" s="3"/>
      <c r="C5" s="3"/>
      <c r="D5" s="1" t="s">
        <v>144</v>
      </c>
      <c r="E5" s="3"/>
      <c r="F5" s="1" t="s">
        <v>34</v>
      </c>
      <c r="G5" s="1" t="s">
        <v>35</v>
      </c>
      <c r="H5" s="1" t="s">
        <v>36</v>
      </c>
      <c r="I5" s="1" t="s">
        <v>25</v>
      </c>
      <c r="J5" s="1" t="s">
        <v>26</v>
      </c>
      <c r="K5" s="3">
        <v>18.79</v>
      </c>
      <c r="L5" s="3">
        <v>9.67</v>
      </c>
      <c r="M5" s="3">
        <v>4.25</v>
      </c>
      <c r="N5" s="3">
        <v>5.4</v>
      </c>
      <c r="O5" s="3">
        <v>9.8699999999999992</v>
      </c>
      <c r="P5" s="3">
        <v>23.61</v>
      </c>
      <c r="Q5" s="3">
        <v>11</v>
      </c>
      <c r="R5" s="3">
        <v>91</v>
      </c>
      <c r="S5" s="3">
        <v>84</v>
      </c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3.5" customHeight="1" x14ac:dyDescent="0.2">
      <c r="A6" s="3"/>
      <c r="B6" s="3"/>
      <c r="C6" s="3"/>
      <c r="D6" s="1" t="s">
        <v>144</v>
      </c>
      <c r="E6" s="3"/>
      <c r="F6" s="1" t="s">
        <v>37</v>
      </c>
      <c r="G6" s="1" t="s">
        <v>38</v>
      </c>
      <c r="H6" s="1" t="s">
        <v>39</v>
      </c>
      <c r="I6" s="1" t="s">
        <v>25</v>
      </c>
      <c r="J6" s="1" t="s">
        <v>26</v>
      </c>
      <c r="K6" s="3">
        <v>17.309999999999999</v>
      </c>
      <c r="L6" s="3">
        <v>9.69</v>
      </c>
      <c r="M6" s="3">
        <v>3.86</v>
      </c>
      <c r="N6" s="3">
        <v>4.83</v>
      </c>
      <c r="O6" s="3">
        <v>9.39</v>
      </c>
      <c r="P6" s="3">
        <v>21.8</v>
      </c>
      <c r="Q6" s="3">
        <v>11</v>
      </c>
      <c r="R6" s="3">
        <v>85</v>
      </c>
      <c r="S6" s="3">
        <v>85</v>
      </c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3.5" customHeight="1" x14ac:dyDescent="0.2">
      <c r="A7" s="3"/>
      <c r="B7" s="3"/>
      <c r="C7" s="3"/>
      <c r="D7" s="1" t="s">
        <v>144</v>
      </c>
      <c r="E7" s="3"/>
      <c r="F7" s="1" t="s">
        <v>40</v>
      </c>
      <c r="G7" s="1" t="s">
        <v>41</v>
      </c>
      <c r="H7" s="1" t="s">
        <v>42</v>
      </c>
      <c r="I7" s="1" t="s">
        <v>25</v>
      </c>
      <c r="J7" s="1" t="s">
        <v>30</v>
      </c>
      <c r="K7" s="3">
        <v>16.91</v>
      </c>
      <c r="L7" s="3">
        <v>9.19</v>
      </c>
      <c r="M7" s="3">
        <v>4.41</v>
      </c>
      <c r="N7" s="3">
        <v>4.8899999999999997</v>
      </c>
      <c r="O7" s="3">
        <v>9.0500000000000007</v>
      </c>
      <c r="P7" s="3">
        <v>22.75</v>
      </c>
      <c r="Q7" s="3">
        <v>11</v>
      </c>
      <c r="R7" s="3">
        <v>81</v>
      </c>
      <c r="S7" s="3">
        <v>81</v>
      </c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3.5" customHeight="1" x14ac:dyDescent="0.2">
      <c r="A8" s="3"/>
      <c r="B8" s="3"/>
      <c r="C8" s="3"/>
      <c r="D8" s="1" t="s">
        <v>144</v>
      </c>
      <c r="E8" s="3"/>
      <c r="F8" s="1" t="s">
        <v>43</v>
      </c>
      <c r="G8" s="1" t="s">
        <v>44</v>
      </c>
      <c r="H8" s="1" t="s">
        <v>29</v>
      </c>
      <c r="I8" s="1" t="s">
        <v>25</v>
      </c>
      <c r="J8" s="3"/>
      <c r="K8" s="3">
        <v>16.29</v>
      </c>
      <c r="L8" s="3">
        <v>8.81</v>
      </c>
      <c r="M8" s="3">
        <v>4.41</v>
      </c>
      <c r="N8" s="3">
        <v>5.13</v>
      </c>
      <c r="O8" s="3">
        <v>9.69</v>
      </c>
      <c r="P8" s="3">
        <v>21.34</v>
      </c>
      <c r="Q8" s="3">
        <v>10</v>
      </c>
      <c r="R8" s="3">
        <v>79</v>
      </c>
      <c r="S8" s="3">
        <v>84</v>
      </c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3.5" customHeight="1" x14ac:dyDescent="0.2">
      <c r="A9" s="3"/>
      <c r="B9" s="3"/>
      <c r="C9" s="3"/>
      <c r="D9" s="1" t="s">
        <v>144</v>
      </c>
      <c r="E9" s="3"/>
      <c r="F9" s="1" t="s">
        <v>45</v>
      </c>
      <c r="G9" s="1" t="s">
        <v>46</v>
      </c>
      <c r="H9" s="1" t="s">
        <v>47</v>
      </c>
      <c r="I9" s="1" t="s">
        <v>25</v>
      </c>
      <c r="J9" s="1" t="s">
        <v>30</v>
      </c>
      <c r="K9" s="3">
        <v>17.03</v>
      </c>
      <c r="L9" s="3">
        <v>9.09</v>
      </c>
      <c r="M9" s="3">
        <v>4.3</v>
      </c>
      <c r="N9" s="3">
        <v>4.7300000000000004</v>
      </c>
      <c r="O9" s="3">
        <v>9.67</v>
      </c>
      <c r="P9" s="3">
        <v>21.44</v>
      </c>
      <c r="Q9" s="3">
        <v>11</v>
      </c>
      <c r="R9" s="3">
        <v>78</v>
      </c>
      <c r="S9" s="3">
        <v>76</v>
      </c>
      <c r="T9" s="1"/>
      <c r="U9" s="3"/>
      <c r="V9" s="1" t="s">
        <v>48</v>
      </c>
      <c r="W9" s="3"/>
      <c r="X9" s="3"/>
      <c r="Y9" s="3"/>
      <c r="Z9" s="3"/>
      <c r="AA9" s="3"/>
      <c r="AB9" s="3"/>
      <c r="AC9" s="3"/>
    </row>
    <row r="10" spans="1:29" ht="13.5" customHeight="1" x14ac:dyDescent="0.2">
      <c r="A10" s="3"/>
      <c r="B10" s="3"/>
      <c r="C10" s="3"/>
      <c r="D10" s="1" t="s">
        <v>144</v>
      </c>
      <c r="E10" s="3"/>
      <c r="F10" s="1" t="s">
        <v>49</v>
      </c>
      <c r="G10" s="1" t="s">
        <v>50</v>
      </c>
      <c r="H10" s="1" t="s">
        <v>51</v>
      </c>
      <c r="I10" s="1" t="s">
        <v>25</v>
      </c>
      <c r="J10" s="1" t="s">
        <v>26</v>
      </c>
      <c r="K10" s="3">
        <v>16.04</v>
      </c>
      <c r="L10" s="3">
        <v>8.6999999999999993</v>
      </c>
      <c r="M10" s="3">
        <v>4.07</v>
      </c>
      <c r="N10" s="3">
        <v>5.43</v>
      </c>
      <c r="O10" s="3">
        <v>9.2799999999999994</v>
      </c>
      <c r="P10" s="3">
        <v>22.08</v>
      </c>
      <c r="Q10" s="3">
        <v>12</v>
      </c>
      <c r="R10" s="3">
        <v>79</v>
      </c>
      <c r="S10" s="3">
        <v>79</v>
      </c>
      <c r="T10" s="1"/>
      <c r="U10" s="3"/>
      <c r="V10" s="1" t="s">
        <v>48</v>
      </c>
      <c r="W10" s="3"/>
      <c r="X10" s="3"/>
      <c r="Y10" s="3"/>
      <c r="Z10" s="3"/>
      <c r="AA10" s="3"/>
      <c r="AB10" s="3"/>
      <c r="AC10" s="3"/>
    </row>
    <row r="11" spans="1:29" ht="13.5" customHeight="1" x14ac:dyDescent="0.2">
      <c r="A11" s="3"/>
      <c r="B11" s="3"/>
      <c r="C11" s="3"/>
      <c r="D11" s="1" t="s">
        <v>144</v>
      </c>
      <c r="E11" s="3"/>
      <c r="F11" s="1" t="s">
        <v>52</v>
      </c>
      <c r="G11" s="1" t="s">
        <v>53</v>
      </c>
      <c r="H11" s="1" t="s">
        <v>54</v>
      </c>
      <c r="I11" s="1" t="s">
        <v>25</v>
      </c>
      <c r="J11" s="1" t="s">
        <v>30</v>
      </c>
      <c r="K11" s="3">
        <v>14.82</v>
      </c>
      <c r="L11" s="3">
        <v>8.9700000000000006</v>
      </c>
      <c r="M11" s="3">
        <v>4.3</v>
      </c>
      <c r="N11" s="3">
        <v>4.45</v>
      </c>
      <c r="O11" s="3">
        <v>9.76</v>
      </c>
      <c r="P11" s="3">
        <v>20.16</v>
      </c>
      <c r="Q11" s="3">
        <v>11</v>
      </c>
      <c r="R11" s="3">
        <v>80</v>
      </c>
      <c r="S11" s="3">
        <v>76</v>
      </c>
      <c r="T11" s="1"/>
      <c r="U11" s="3"/>
      <c r="V11" s="1" t="s">
        <v>48</v>
      </c>
      <c r="W11" s="3"/>
      <c r="X11" s="3"/>
      <c r="Y11" s="3"/>
      <c r="Z11" s="3"/>
      <c r="AA11" s="3"/>
      <c r="AB11" s="3"/>
      <c r="AC11" s="3"/>
    </row>
    <row r="12" spans="1:29" ht="13.5" customHeight="1" x14ac:dyDescent="0.2">
      <c r="A12" s="3"/>
      <c r="B12" s="3"/>
      <c r="C12" s="3"/>
      <c r="D12" s="1" t="s">
        <v>144</v>
      </c>
      <c r="E12" s="3"/>
      <c r="F12" s="1" t="s">
        <v>55</v>
      </c>
      <c r="G12" s="1" t="s">
        <v>56</v>
      </c>
      <c r="H12" s="1" t="s">
        <v>33</v>
      </c>
      <c r="I12" s="1" t="s">
        <v>25</v>
      </c>
      <c r="J12" s="1" t="s">
        <v>26</v>
      </c>
      <c r="K12" s="3">
        <v>15.85</v>
      </c>
      <c r="L12" s="3">
        <v>9.3000000000000007</v>
      </c>
      <c r="M12" s="3">
        <v>4.29</v>
      </c>
      <c r="N12" s="3">
        <v>5.58</v>
      </c>
      <c r="O12" s="3">
        <v>9.61</v>
      </c>
      <c r="P12" s="3">
        <v>23.65</v>
      </c>
      <c r="Q12" s="3">
        <v>9</v>
      </c>
      <c r="R12" s="3">
        <v>86</v>
      </c>
      <c r="S12" s="3">
        <v>84</v>
      </c>
      <c r="T12" s="1"/>
      <c r="U12" s="3"/>
      <c r="V12" s="1" t="s">
        <v>48</v>
      </c>
      <c r="W12" s="3"/>
      <c r="X12" s="3"/>
      <c r="Y12" s="3"/>
      <c r="Z12" s="3"/>
      <c r="AA12" s="3"/>
      <c r="AB12" s="3"/>
      <c r="AC12" s="3"/>
    </row>
    <row r="13" spans="1:29" ht="13.5" customHeight="1" x14ac:dyDescent="0.2">
      <c r="A13" s="3"/>
      <c r="B13" s="3"/>
      <c r="C13" s="3"/>
      <c r="D13" s="1" t="s">
        <v>144</v>
      </c>
      <c r="E13" s="3"/>
      <c r="F13" s="4" t="s">
        <v>57</v>
      </c>
      <c r="G13" s="1" t="s">
        <v>58</v>
      </c>
      <c r="H13" s="1" t="s">
        <v>59</v>
      </c>
      <c r="I13" s="1" t="s">
        <v>25</v>
      </c>
      <c r="J13" s="1" t="s">
        <v>26</v>
      </c>
      <c r="K13" s="3">
        <v>16.77</v>
      </c>
      <c r="L13" s="3">
        <v>9.69</v>
      </c>
      <c r="M13" s="3">
        <v>4.4800000000000004</v>
      </c>
      <c r="N13" s="3">
        <v>6.22</v>
      </c>
      <c r="O13" s="3">
        <v>9.35</v>
      </c>
      <c r="P13" s="3">
        <v>23.98</v>
      </c>
      <c r="Q13" s="3">
        <v>10</v>
      </c>
      <c r="R13" s="3">
        <v>87</v>
      </c>
      <c r="S13" s="3">
        <v>79</v>
      </c>
      <c r="T13" s="1"/>
      <c r="U13" s="3"/>
      <c r="V13" s="1" t="s">
        <v>48</v>
      </c>
      <c r="W13" s="3"/>
      <c r="X13" s="3"/>
      <c r="Y13" s="3"/>
      <c r="Z13" s="3"/>
      <c r="AA13" s="3"/>
      <c r="AB13" s="3"/>
      <c r="AC13" s="3"/>
    </row>
    <row r="14" spans="1:29" ht="13.5" customHeight="1" x14ac:dyDescent="0.2">
      <c r="A14" s="3"/>
      <c r="B14" s="3"/>
      <c r="C14" s="3"/>
      <c r="D14" s="1" t="s">
        <v>144</v>
      </c>
      <c r="E14" s="3"/>
      <c r="F14" s="1" t="s">
        <v>60</v>
      </c>
      <c r="G14" s="1" t="s">
        <v>61</v>
      </c>
      <c r="H14" s="1" t="s">
        <v>62</v>
      </c>
      <c r="I14" s="1" t="s">
        <v>25</v>
      </c>
      <c r="J14" s="1" t="s">
        <v>30</v>
      </c>
      <c r="K14" s="3">
        <v>16.829999999999998</v>
      </c>
      <c r="L14" s="3">
        <v>9.67</v>
      </c>
      <c r="M14" s="3">
        <v>3.54</v>
      </c>
      <c r="N14" s="3">
        <v>4.6900000000000004</v>
      </c>
      <c r="O14" s="3">
        <v>9.94</v>
      </c>
      <c r="P14" s="3">
        <v>21.6</v>
      </c>
      <c r="Q14" s="3">
        <v>10</v>
      </c>
      <c r="R14" s="3">
        <v>82</v>
      </c>
      <c r="S14" s="3">
        <v>83</v>
      </c>
      <c r="T14" s="1"/>
      <c r="U14" s="3"/>
      <c r="V14" s="1" t="s">
        <v>48</v>
      </c>
      <c r="W14" s="3"/>
      <c r="X14" s="3"/>
      <c r="Y14" s="3"/>
      <c r="Z14" s="3"/>
      <c r="AA14" s="3"/>
      <c r="AB14" s="3"/>
      <c r="AC14" s="3"/>
    </row>
    <row r="15" spans="1:29" ht="13.5" customHeight="1" x14ac:dyDescent="0.2">
      <c r="A15" s="3"/>
      <c r="B15" s="3"/>
      <c r="C15" s="3"/>
      <c r="D15" s="1" t="s">
        <v>144</v>
      </c>
      <c r="E15" s="3"/>
      <c r="F15" s="1" t="s">
        <v>63</v>
      </c>
      <c r="G15" s="1" t="s">
        <v>64</v>
      </c>
      <c r="H15" s="1" t="s">
        <v>39</v>
      </c>
      <c r="I15" s="1" t="s">
        <v>25</v>
      </c>
      <c r="J15" s="1" t="s">
        <v>30</v>
      </c>
      <c r="K15" s="3">
        <v>17.399999999999999</v>
      </c>
      <c r="L15" s="3">
        <v>9.43</v>
      </c>
      <c r="M15" s="3">
        <v>4.2300000000000004</v>
      </c>
      <c r="N15" s="3">
        <v>4.51</v>
      </c>
      <c r="O15" s="3">
        <v>9.7100000000000009</v>
      </c>
      <c r="P15" s="3">
        <v>20.51</v>
      </c>
      <c r="Q15" s="3">
        <v>11</v>
      </c>
      <c r="R15" s="3">
        <v>83</v>
      </c>
      <c r="S15" s="3">
        <v>80</v>
      </c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3.5" customHeight="1" x14ac:dyDescent="0.2">
      <c r="A16" s="3"/>
      <c r="B16" s="3"/>
      <c r="C16" s="3"/>
      <c r="D16" s="1" t="s">
        <v>144</v>
      </c>
      <c r="E16" s="3"/>
      <c r="F16" s="1" t="s">
        <v>65</v>
      </c>
      <c r="G16" s="1" t="s">
        <v>66</v>
      </c>
      <c r="H16" s="1" t="s">
        <v>39</v>
      </c>
      <c r="I16" s="1" t="s">
        <v>25</v>
      </c>
      <c r="J16" s="1" t="s">
        <v>30</v>
      </c>
      <c r="K16" s="3">
        <v>16.38</v>
      </c>
      <c r="L16" s="3">
        <v>9.06</v>
      </c>
      <c r="M16" s="3">
        <v>4.4000000000000004</v>
      </c>
      <c r="N16" s="3">
        <v>4.6100000000000003</v>
      </c>
      <c r="O16" s="3">
        <v>9.33</v>
      </c>
      <c r="P16" s="3">
        <v>21.74</v>
      </c>
      <c r="Q16" s="3">
        <v>11</v>
      </c>
      <c r="R16" s="3">
        <v>81</v>
      </c>
      <c r="S16" s="3">
        <v>84</v>
      </c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3.5" customHeight="1" x14ac:dyDescent="0.2">
      <c r="A17" s="3"/>
      <c r="B17" s="3"/>
      <c r="C17" s="3"/>
      <c r="D17" s="1" t="s">
        <v>144</v>
      </c>
      <c r="E17" s="3"/>
      <c r="F17" s="1" t="s">
        <v>67</v>
      </c>
      <c r="G17" s="1" t="s">
        <v>68</v>
      </c>
      <c r="H17" s="1" t="s">
        <v>69</v>
      </c>
      <c r="I17" s="1" t="s">
        <v>25</v>
      </c>
      <c r="J17" s="1" t="s">
        <v>30</v>
      </c>
      <c r="K17" s="3">
        <v>15.87</v>
      </c>
      <c r="L17" s="3">
        <v>9.36</v>
      </c>
      <c r="M17" s="3">
        <v>4.0599999999999996</v>
      </c>
      <c r="N17" s="3">
        <v>4.55</v>
      </c>
      <c r="O17" s="3">
        <v>9.74</v>
      </c>
      <c r="P17" s="3">
        <v>21.43</v>
      </c>
      <c r="Q17" s="3">
        <v>8</v>
      </c>
      <c r="R17" s="3">
        <v>82</v>
      </c>
      <c r="S17" s="3">
        <v>77</v>
      </c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3.5" customHeight="1" x14ac:dyDescent="0.2">
      <c r="A18" s="3"/>
      <c r="B18" s="3"/>
      <c r="C18" s="3"/>
      <c r="D18" s="1" t="s">
        <v>144</v>
      </c>
      <c r="E18" s="3"/>
      <c r="F18" s="1" t="s">
        <v>70</v>
      </c>
      <c r="G18" s="1" t="s">
        <v>71</v>
      </c>
      <c r="H18" s="1" t="s">
        <v>72</v>
      </c>
      <c r="I18" s="1" t="s">
        <v>25</v>
      </c>
      <c r="J18" s="1" t="s">
        <v>30</v>
      </c>
      <c r="K18" s="3">
        <v>15.79</v>
      </c>
      <c r="L18" s="3">
        <v>8.52</v>
      </c>
      <c r="M18" s="3">
        <v>3.63</v>
      </c>
      <c r="N18" s="3">
        <v>4.5999999999999996</v>
      </c>
      <c r="O18" s="3">
        <v>9.33</v>
      </c>
      <c r="P18" s="3">
        <v>20.059999999999999</v>
      </c>
      <c r="Q18" s="3">
        <v>6</v>
      </c>
      <c r="R18" s="3">
        <v>75</v>
      </c>
      <c r="S18" s="3">
        <v>74</v>
      </c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3.5" customHeight="1" x14ac:dyDescent="0.2">
      <c r="A19" s="3"/>
      <c r="B19" s="3"/>
      <c r="C19" s="3"/>
      <c r="D19" s="1" t="s">
        <v>144</v>
      </c>
      <c r="E19" s="3"/>
      <c r="F19" s="1" t="s">
        <v>73</v>
      </c>
      <c r="G19" s="1" t="s">
        <v>50</v>
      </c>
      <c r="H19" s="1" t="s">
        <v>51</v>
      </c>
      <c r="I19" s="1" t="s">
        <v>25</v>
      </c>
      <c r="J19" s="1" t="s">
        <v>26</v>
      </c>
      <c r="K19" s="3">
        <v>17.649999999999999</v>
      </c>
      <c r="L19" s="3">
        <v>9.86</v>
      </c>
      <c r="M19" s="3">
        <v>4.8099999999999996</v>
      </c>
      <c r="N19" s="3">
        <v>5.13</v>
      </c>
      <c r="O19" s="3">
        <v>9.5299999999999994</v>
      </c>
      <c r="P19" s="3">
        <v>21.38</v>
      </c>
      <c r="Q19" s="3">
        <v>9</v>
      </c>
      <c r="R19" s="3">
        <v>81</v>
      </c>
      <c r="S19" s="3">
        <v>82</v>
      </c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3.5" customHeight="1" x14ac:dyDescent="0.2">
      <c r="A20" s="3"/>
      <c r="B20" s="3"/>
      <c r="C20" s="3"/>
      <c r="D20" s="1" t="s">
        <v>144</v>
      </c>
      <c r="E20" s="3"/>
      <c r="F20" s="1" t="s">
        <v>74</v>
      </c>
      <c r="G20" s="1" t="s">
        <v>75</v>
      </c>
      <c r="H20" s="1" t="s">
        <v>76</v>
      </c>
      <c r="I20" s="1" t="s">
        <v>25</v>
      </c>
      <c r="J20" s="1" t="s">
        <v>26</v>
      </c>
      <c r="K20" s="3">
        <v>16.39</v>
      </c>
      <c r="L20" s="3">
        <v>9.51</v>
      </c>
      <c r="M20" s="3">
        <v>4.7300000000000004</v>
      </c>
      <c r="N20" s="3">
        <v>4.62</v>
      </c>
      <c r="O20" s="3">
        <v>9.2100000000000009</v>
      </c>
      <c r="P20" s="3">
        <v>23.38</v>
      </c>
      <c r="Q20" s="3">
        <v>8</v>
      </c>
      <c r="R20" s="3">
        <v>83</v>
      </c>
      <c r="S20" s="3">
        <v>82</v>
      </c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3.5" customHeight="1" x14ac:dyDescent="0.2">
      <c r="A21" s="3"/>
      <c r="B21" s="3"/>
      <c r="C21" s="3"/>
      <c r="D21" s="1" t="s">
        <v>144</v>
      </c>
      <c r="E21" s="3"/>
      <c r="F21" s="1" t="s">
        <v>77</v>
      </c>
      <c r="G21" s="1" t="s">
        <v>50</v>
      </c>
      <c r="H21" s="1" t="s">
        <v>51</v>
      </c>
      <c r="I21" s="1" t="s">
        <v>25</v>
      </c>
      <c r="J21" s="1" t="s">
        <v>26</v>
      </c>
      <c r="K21" s="3">
        <v>16.010000000000002</v>
      </c>
      <c r="L21" s="3">
        <v>9.94</v>
      </c>
      <c r="M21" s="3">
        <v>4.67</v>
      </c>
      <c r="N21" s="3">
        <f>2.98+2.26</f>
        <v>5.24</v>
      </c>
      <c r="O21" s="3">
        <v>9.83</v>
      </c>
      <c r="P21" s="3">
        <v>23.1</v>
      </c>
      <c r="Q21" s="3">
        <v>12</v>
      </c>
      <c r="R21" s="3">
        <v>85</v>
      </c>
      <c r="S21" s="3">
        <v>85</v>
      </c>
      <c r="T21" s="1"/>
      <c r="U21" s="3"/>
      <c r="V21" s="1" t="s">
        <v>48</v>
      </c>
      <c r="W21" s="3"/>
      <c r="X21" s="3"/>
      <c r="Y21" s="3"/>
      <c r="Z21" s="3"/>
      <c r="AA21" s="3"/>
      <c r="AB21" s="3"/>
      <c r="AC21" s="3"/>
    </row>
    <row r="22" spans="1:29" ht="13.5" customHeight="1" x14ac:dyDescent="0.2">
      <c r="A22" s="3"/>
      <c r="B22" s="3"/>
      <c r="C22" s="3"/>
      <c r="D22" s="1" t="s">
        <v>144</v>
      </c>
      <c r="E22" s="3"/>
      <c r="F22" s="1" t="s">
        <v>78</v>
      </c>
      <c r="G22" s="1" t="s">
        <v>79</v>
      </c>
      <c r="H22" s="1" t="s">
        <v>80</v>
      </c>
      <c r="I22" s="1" t="s">
        <v>25</v>
      </c>
      <c r="J22" s="1" t="s">
        <v>26</v>
      </c>
      <c r="K22" s="3">
        <v>16.34</v>
      </c>
      <c r="L22" s="3">
        <v>9.1999999999999993</v>
      </c>
      <c r="M22" s="3">
        <v>4.6500000000000004</v>
      </c>
      <c r="N22" s="3">
        <v>5</v>
      </c>
      <c r="O22" s="3">
        <v>9.1999999999999993</v>
      </c>
      <c r="P22" s="3">
        <v>23.1</v>
      </c>
      <c r="Q22" s="3">
        <v>11</v>
      </c>
      <c r="R22" s="3">
        <v>89</v>
      </c>
      <c r="S22" s="3">
        <v>82</v>
      </c>
      <c r="T22" s="1"/>
      <c r="U22" s="3"/>
      <c r="V22" s="1" t="s">
        <v>48</v>
      </c>
      <c r="W22" s="3"/>
      <c r="X22" s="3"/>
      <c r="Y22" s="3"/>
      <c r="Z22" s="3"/>
      <c r="AA22" s="3"/>
      <c r="AB22" s="3"/>
      <c r="AC22" s="3"/>
    </row>
    <row r="23" spans="1:29" ht="13.5" customHeight="1" x14ac:dyDescent="0.2">
      <c r="A23" s="3"/>
      <c r="B23" s="3"/>
      <c r="C23" s="3"/>
      <c r="D23" s="1" t="s">
        <v>144</v>
      </c>
      <c r="E23" s="3"/>
      <c r="F23" s="1" t="s">
        <v>81</v>
      </c>
      <c r="G23" s="1" t="s">
        <v>82</v>
      </c>
      <c r="H23" s="1" t="s">
        <v>76</v>
      </c>
      <c r="I23" s="1" t="s">
        <v>25</v>
      </c>
      <c r="J23" s="1" t="s">
        <v>30</v>
      </c>
      <c r="K23" s="3">
        <v>15.47</v>
      </c>
      <c r="L23" s="3">
        <v>9.59</v>
      </c>
      <c r="M23" s="3">
        <v>4.6900000000000004</v>
      </c>
      <c r="N23" s="3">
        <v>4.8899999999999997</v>
      </c>
      <c r="O23" s="3">
        <v>9.85</v>
      </c>
      <c r="P23" s="3">
        <v>23.01</v>
      </c>
      <c r="Q23" s="3">
        <v>10</v>
      </c>
      <c r="R23" s="3">
        <v>79</v>
      </c>
      <c r="S23" s="3">
        <v>80</v>
      </c>
      <c r="T23" s="1"/>
      <c r="U23" s="3"/>
      <c r="V23" s="1" t="s">
        <v>48</v>
      </c>
      <c r="W23" s="3"/>
      <c r="X23" s="3"/>
      <c r="Y23" s="3"/>
      <c r="Z23" s="3"/>
      <c r="AA23" s="3"/>
      <c r="AB23" s="3"/>
      <c r="AC23" s="3"/>
    </row>
    <row r="24" spans="1:29" ht="13.5" customHeight="1" x14ac:dyDescent="0.2">
      <c r="A24" s="3"/>
      <c r="B24" s="3"/>
      <c r="C24" s="3"/>
      <c r="D24" s="1" t="s">
        <v>144</v>
      </c>
      <c r="E24" s="3"/>
      <c r="F24" s="1" t="s">
        <v>83</v>
      </c>
      <c r="G24" s="1" t="s">
        <v>84</v>
      </c>
      <c r="H24" s="1" t="s">
        <v>72</v>
      </c>
      <c r="I24" s="1" t="s">
        <v>25</v>
      </c>
      <c r="J24" s="1" t="s">
        <v>30</v>
      </c>
      <c r="K24" s="3">
        <v>18.59</v>
      </c>
      <c r="L24" s="3">
        <v>9.8000000000000007</v>
      </c>
      <c r="M24" s="3">
        <v>5.0199999999999996</v>
      </c>
      <c r="N24" s="3">
        <v>5.61</v>
      </c>
      <c r="O24" s="3">
        <v>9.6300000000000008</v>
      </c>
      <c r="P24" s="3">
        <v>23.87</v>
      </c>
      <c r="Q24" s="3">
        <v>10</v>
      </c>
      <c r="R24" s="3">
        <v>85</v>
      </c>
      <c r="S24" s="3">
        <v>75</v>
      </c>
      <c r="T24" s="1"/>
      <c r="U24" s="3"/>
      <c r="V24" s="1" t="s">
        <v>48</v>
      </c>
      <c r="W24" s="3"/>
      <c r="X24" s="3"/>
      <c r="Y24" s="3"/>
      <c r="Z24" s="3"/>
      <c r="AA24" s="3"/>
      <c r="AB24" s="3"/>
      <c r="AC24" s="3"/>
    </row>
    <row r="25" spans="1:29" ht="13.5" customHeight="1" x14ac:dyDescent="0.2">
      <c r="A25" s="3"/>
      <c r="B25" s="3"/>
      <c r="C25" s="3"/>
      <c r="D25" s="1" t="s">
        <v>144</v>
      </c>
      <c r="E25" s="3"/>
      <c r="F25" s="1" t="s">
        <v>85</v>
      </c>
      <c r="G25" s="1" t="s">
        <v>86</v>
      </c>
      <c r="H25" s="1" t="s">
        <v>87</v>
      </c>
      <c r="I25" s="1" t="s">
        <v>25</v>
      </c>
      <c r="J25" s="1" t="s">
        <v>26</v>
      </c>
      <c r="K25" s="3">
        <v>16.440000000000001</v>
      </c>
      <c r="L25" s="3">
        <v>9.98</v>
      </c>
      <c r="M25" s="3">
        <v>4.74</v>
      </c>
      <c r="N25" s="3">
        <v>5.14</v>
      </c>
      <c r="O25" s="3">
        <v>9.81</v>
      </c>
      <c r="P25" s="3">
        <v>24.29</v>
      </c>
      <c r="Q25" s="3">
        <v>9</v>
      </c>
      <c r="R25" s="3">
        <v>86</v>
      </c>
      <c r="S25" s="3">
        <v>78</v>
      </c>
      <c r="T25" s="1"/>
      <c r="U25" s="3"/>
      <c r="V25" s="1" t="s">
        <v>48</v>
      </c>
      <c r="W25" s="3"/>
      <c r="X25" s="3"/>
      <c r="Y25" s="3"/>
      <c r="Z25" s="3"/>
      <c r="AA25" s="3"/>
      <c r="AB25" s="3"/>
      <c r="AC25" s="3"/>
    </row>
    <row r="26" spans="1:29" ht="13.5" customHeight="1" x14ac:dyDescent="0.2">
      <c r="A26" s="3"/>
      <c r="B26" s="3"/>
      <c r="C26" s="3"/>
      <c r="D26" s="1" t="s">
        <v>144</v>
      </c>
      <c r="E26" s="3"/>
      <c r="F26" s="1" t="s">
        <v>88</v>
      </c>
      <c r="G26" s="1" t="s">
        <v>89</v>
      </c>
      <c r="H26" s="1" t="s">
        <v>90</v>
      </c>
      <c r="I26" s="1" t="s">
        <v>25</v>
      </c>
      <c r="J26" s="1" t="s">
        <v>26</v>
      </c>
      <c r="K26" s="1" t="s">
        <v>685</v>
      </c>
      <c r="L26" s="1" t="s">
        <v>685</v>
      </c>
      <c r="M26" s="3">
        <v>3.73</v>
      </c>
      <c r="N26" s="3">
        <v>4.63</v>
      </c>
      <c r="O26" s="3">
        <v>9.0399999999999991</v>
      </c>
      <c r="P26" s="3">
        <v>21.05</v>
      </c>
      <c r="Q26" s="3">
        <v>10</v>
      </c>
      <c r="R26" s="3">
        <v>85</v>
      </c>
      <c r="S26" s="3">
        <v>85</v>
      </c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3.5" customHeight="1" x14ac:dyDescent="0.2">
      <c r="A27" s="3"/>
      <c r="B27" s="3"/>
      <c r="C27" s="3"/>
      <c r="D27" s="1" t="s">
        <v>144</v>
      </c>
      <c r="E27" s="3"/>
      <c r="F27" s="1" t="s">
        <v>91</v>
      </c>
      <c r="G27" s="1" t="s">
        <v>92</v>
      </c>
      <c r="H27" s="1" t="s">
        <v>93</v>
      </c>
      <c r="I27" s="1" t="s">
        <v>25</v>
      </c>
      <c r="J27" s="1" t="s">
        <v>26</v>
      </c>
      <c r="K27" s="3">
        <v>18.46</v>
      </c>
      <c r="L27" s="3">
        <v>10.119999999999999</v>
      </c>
      <c r="M27" s="3">
        <v>4.47</v>
      </c>
      <c r="N27" s="3">
        <v>5.93</v>
      </c>
      <c r="O27" s="3">
        <v>9.6300000000000008</v>
      </c>
      <c r="P27" s="3">
        <v>19.68</v>
      </c>
      <c r="Q27" s="3">
        <v>9</v>
      </c>
      <c r="R27" s="3">
        <v>81</v>
      </c>
      <c r="S27" s="1" t="s">
        <v>685</v>
      </c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3.5" customHeight="1" x14ac:dyDescent="0.2">
      <c r="A28" s="3"/>
      <c r="B28" s="3"/>
      <c r="C28" s="3"/>
      <c r="D28" s="1" t="s">
        <v>144</v>
      </c>
      <c r="E28" s="3"/>
      <c r="F28" s="1" t="s">
        <v>94</v>
      </c>
      <c r="G28" s="1" t="s">
        <v>46</v>
      </c>
      <c r="H28" s="1" t="s">
        <v>47</v>
      </c>
      <c r="I28" s="1" t="s">
        <v>25</v>
      </c>
      <c r="J28" s="1" t="s">
        <v>30</v>
      </c>
      <c r="K28" s="3">
        <v>17.72</v>
      </c>
      <c r="L28" s="3">
        <v>9.49</v>
      </c>
      <c r="M28" s="3">
        <v>4.4400000000000004</v>
      </c>
      <c r="N28" s="3">
        <v>4.62</v>
      </c>
      <c r="O28" s="3">
        <v>9.4600000000000009</v>
      </c>
      <c r="P28" s="3">
        <v>20.079999999999998</v>
      </c>
      <c r="Q28" s="3">
        <v>13</v>
      </c>
      <c r="R28" s="3">
        <v>82</v>
      </c>
      <c r="S28" s="3">
        <v>84</v>
      </c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3.5" customHeight="1" x14ac:dyDescent="0.2">
      <c r="A29" s="3"/>
      <c r="B29" s="3"/>
      <c r="C29" s="3"/>
      <c r="D29" s="1" t="s">
        <v>144</v>
      </c>
      <c r="E29" s="3"/>
      <c r="F29" s="1" t="s">
        <v>95</v>
      </c>
      <c r="G29" s="1" t="s">
        <v>82</v>
      </c>
      <c r="H29" s="1" t="s">
        <v>76</v>
      </c>
      <c r="I29" s="1" t="s">
        <v>25</v>
      </c>
      <c r="J29" s="1" t="s">
        <v>30</v>
      </c>
      <c r="K29" s="3">
        <v>15.02</v>
      </c>
      <c r="L29" s="3">
        <v>9.17</v>
      </c>
      <c r="M29" s="3">
        <v>4.78</v>
      </c>
      <c r="N29" s="3">
        <v>4.7</v>
      </c>
      <c r="O29" s="3">
        <v>9.5500000000000007</v>
      </c>
      <c r="P29" s="3">
        <v>21.34</v>
      </c>
      <c r="Q29" s="3">
        <v>8</v>
      </c>
      <c r="R29" s="3">
        <v>79</v>
      </c>
      <c r="S29" s="3">
        <v>76</v>
      </c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3.5" customHeight="1" x14ac:dyDescent="0.2">
      <c r="A30" s="3"/>
      <c r="B30" s="3"/>
      <c r="C30" s="3"/>
      <c r="D30" s="1" t="s">
        <v>144</v>
      </c>
      <c r="E30" s="3"/>
      <c r="F30" s="1" t="s">
        <v>96</v>
      </c>
      <c r="G30" s="1" t="s">
        <v>97</v>
      </c>
      <c r="H30" s="1" t="s">
        <v>98</v>
      </c>
      <c r="I30" s="1" t="s">
        <v>25</v>
      </c>
      <c r="J30" s="1" t="s">
        <v>26</v>
      </c>
      <c r="K30" s="3">
        <v>16.3</v>
      </c>
      <c r="L30" s="3">
        <v>9.67</v>
      </c>
      <c r="M30" s="3">
        <v>4.54</v>
      </c>
      <c r="N30" s="3">
        <v>5.16</v>
      </c>
      <c r="O30" s="3">
        <v>10.79</v>
      </c>
      <c r="P30" s="3">
        <v>19.72</v>
      </c>
      <c r="Q30" s="3">
        <v>9</v>
      </c>
      <c r="R30" s="3">
        <v>83</v>
      </c>
      <c r="S30" s="3">
        <v>86</v>
      </c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3.5" customHeight="1" x14ac:dyDescent="0.2">
      <c r="A31" s="3"/>
      <c r="B31" s="3"/>
      <c r="C31" s="3"/>
      <c r="D31" s="1" t="s">
        <v>144</v>
      </c>
      <c r="E31" s="3"/>
      <c r="F31" s="1" t="s">
        <v>99</v>
      </c>
      <c r="G31" s="1" t="s">
        <v>100</v>
      </c>
      <c r="H31" s="1" t="s">
        <v>51</v>
      </c>
      <c r="I31" s="1" t="s">
        <v>25</v>
      </c>
      <c r="J31" s="1" t="s">
        <v>26</v>
      </c>
      <c r="K31" s="3">
        <v>16.86</v>
      </c>
      <c r="L31" s="3">
        <v>9.59</v>
      </c>
      <c r="M31" s="3">
        <v>4.1500000000000004</v>
      </c>
      <c r="N31" s="3">
        <v>4.96</v>
      </c>
      <c r="O31" s="3">
        <v>9.75</v>
      </c>
      <c r="P31" s="3">
        <v>19.510000000000002</v>
      </c>
      <c r="Q31" s="3">
        <v>9</v>
      </c>
      <c r="R31" s="3">
        <v>79</v>
      </c>
      <c r="S31" s="3">
        <v>78</v>
      </c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3.5" customHeight="1" x14ac:dyDescent="0.2">
      <c r="A32" s="3"/>
      <c r="B32" s="3"/>
      <c r="C32" s="3"/>
      <c r="D32" s="1" t="s">
        <v>144</v>
      </c>
      <c r="E32" s="3"/>
      <c r="F32" s="1" t="s">
        <v>101</v>
      </c>
      <c r="G32" s="1" t="s">
        <v>102</v>
      </c>
      <c r="H32" s="1" t="s">
        <v>103</v>
      </c>
      <c r="I32" s="1" t="s">
        <v>25</v>
      </c>
      <c r="J32" s="1" t="s">
        <v>26</v>
      </c>
      <c r="K32" s="3">
        <v>17.62</v>
      </c>
      <c r="L32" s="3">
        <v>9.84</v>
      </c>
      <c r="M32" s="3">
        <v>4.13</v>
      </c>
      <c r="N32" s="3">
        <v>4.87</v>
      </c>
      <c r="O32" s="3">
        <v>9.7899999999999991</v>
      </c>
      <c r="P32" s="3">
        <v>19.809999999999999</v>
      </c>
      <c r="Q32" s="3">
        <v>10</v>
      </c>
      <c r="R32" s="3">
        <v>90</v>
      </c>
      <c r="S32" s="3">
        <v>87</v>
      </c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3.5" customHeight="1" x14ac:dyDescent="0.2">
      <c r="A33" s="3"/>
      <c r="B33" s="3"/>
      <c r="C33" s="3"/>
      <c r="D33" s="1" t="s">
        <v>144</v>
      </c>
      <c r="E33" s="3"/>
      <c r="F33" s="1" t="s">
        <v>104</v>
      </c>
      <c r="G33" s="1" t="s">
        <v>105</v>
      </c>
      <c r="H33" s="1" t="s">
        <v>106</v>
      </c>
      <c r="I33" s="1" t="s">
        <v>25</v>
      </c>
      <c r="J33" s="1" t="s">
        <v>30</v>
      </c>
      <c r="K33" s="3">
        <v>17.43</v>
      </c>
      <c r="L33" s="3">
        <v>10.199999999999999</v>
      </c>
      <c r="M33" s="3">
        <v>4.45</v>
      </c>
      <c r="N33" s="3">
        <v>4.88</v>
      </c>
      <c r="O33" s="3">
        <v>9.61</v>
      </c>
      <c r="P33" s="3">
        <v>22.12</v>
      </c>
      <c r="Q33" s="3">
        <v>10</v>
      </c>
      <c r="R33" s="3">
        <v>80</v>
      </c>
      <c r="S33" s="3">
        <v>85</v>
      </c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3.5" customHeight="1" x14ac:dyDescent="0.2">
      <c r="A34" s="3"/>
      <c r="B34" s="3"/>
      <c r="C34" s="3"/>
      <c r="D34" s="1" t="s">
        <v>144</v>
      </c>
      <c r="E34" s="3"/>
      <c r="F34" s="1" t="s">
        <v>107</v>
      </c>
      <c r="G34" s="1" t="s">
        <v>108</v>
      </c>
      <c r="H34" s="1" t="s">
        <v>109</v>
      </c>
      <c r="I34" s="1" t="s">
        <v>25</v>
      </c>
      <c r="J34" s="1" t="s">
        <v>26</v>
      </c>
      <c r="K34" s="3">
        <v>18.149999999999999</v>
      </c>
      <c r="L34" s="3">
        <v>10.77</v>
      </c>
      <c r="M34" s="3">
        <v>4.46</v>
      </c>
      <c r="N34" s="3">
        <v>4.88</v>
      </c>
      <c r="O34" s="3">
        <v>9.6199999999999992</v>
      </c>
      <c r="P34" s="3">
        <v>20.059999999999999</v>
      </c>
      <c r="Q34" s="3">
        <v>10</v>
      </c>
      <c r="R34" s="3">
        <v>84</v>
      </c>
      <c r="S34" s="3">
        <v>84</v>
      </c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3.5" customHeight="1" x14ac:dyDescent="0.2">
      <c r="A35" s="3"/>
      <c r="B35" s="3"/>
      <c r="C35" s="3"/>
      <c r="D35" s="1" t="s">
        <v>144</v>
      </c>
      <c r="E35" s="3"/>
      <c r="F35" s="1" t="s">
        <v>110</v>
      </c>
      <c r="G35" s="1" t="s">
        <v>111</v>
      </c>
      <c r="H35" s="1" t="s">
        <v>72</v>
      </c>
      <c r="I35" s="1" t="s">
        <v>25</v>
      </c>
      <c r="J35" s="1" t="s">
        <v>26</v>
      </c>
      <c r="K35" s="3">
        <v>17.41</v>
      </c>
      <c r="L35" s="3">
        <v>9.5399999999999991</v>
      </c>
      <c r="M35" s="3">
        <v>4.28</v>
      </c>
      <c r="N35" s="3">
        <v>4.8099999999999996</v>
      </c>
      <c r="O35" s="3">
        <v>9.3699999999999992</v>
      </c>
      <c r="P35" s="3">
        <v>22.44</v>
      </c>
      <c r="Q35" s="3">
        <v>13</v>
      </c>
      <c r="R35" s="3">
        <v>83</v>
      </c>
      <c r="S35" s="3">
        <v>78</v>
      </c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3.5" customHeight="1" x14ac:dyDescent="0.2">
      <c r="A36" s="3"/>
      <c r="B36" s="3"/>
      <c r="C36" s="3"/>
      <c r="D36" s="1" t="s">
        <v>144</v>
      </c>
      <c r="E36" s="3"/>
      <c r="F36" s="1" t="s">
        <v>112</v>
      </c>
      <c r="G36" s="1" t="s">
        <v>100</v>
      </c>
      <c r="H36" s="1" t="s">
        <v>51</v>
      </c>
      <c r="I36" s="1" t="s">
        <v>25</v>
      </c>
      <c r="J36" s="3"/>
      <c r="K36" s="3">
        <v>16.38</v>
      </c>
      <c r="L36" s="3">
        <v>8.9</v>
      </c>
      <c r="M36" s="3">
        <v>4.4800000000000004</v>
      </c>
      <c r="N36" s="3">
        <v>4.83</v>
      </c>
      <c r="O36" s="3">
        <v>10.14</v>
      </c>
      <c r="P36" s="3">
        <v>19.690000000000001</v>
      </c>
      <c r="Q36" s="3">
        <v>10</v>
      </c>
      <c r="R36" s="3">
        <v>75</v>
      </c>
      <c r="S36" s="3">
        <v>81</v>
      </c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3.5" customHeight="1" x14ac:dyDescent="0.2">
      <c r="A37" s="3"/>
      <c r="B37" s="3"/>
      <c r="C37" s="3"/>
      <c r="D37" s="1" t="s">
        <v>144</v>
      </c>
      <c r="E37" s="3"/>
      <c r="F37" s="1" t="s">
        <v>113</v>
      </c>
      <c r="G37" s="1" t="s">
        <v>114</v>
      </c>
      <c r="H37" s="1" t="s">
        <v>115</v>
      </c>
      <c r="I37" s="1" t="s">
        <v>25</v>
      </c>
      <c r="J37" s="1" t="s">
        <v>26</v>
      </c>
      <c r="K37" s="3">
        <v>16.329999999999998</v>
      </c>
      <c r="L37" s="3">
        <v>9.0299999999999994</v>
      </c>
      <c r="M37" s="3">
        <v>4.1399999999999997</v>
      </c>
      <c r="N37" s="3">
        <v>4.0999999999999996</v>
      </c>
      <c r="O37" s="3">
        <v>8.73</v>
      </c>
      <c r="P37" s="3">
        <v>19.71</v>
      </c>
      <c r="Q37" s="3">
        <v>11</v>
      </c>
      <c r="R37" s="3">
        <v>80</v>
      </c>
      <c r="S37" s="3">
        <v>79</v>
      </c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3.5" customHeight="1" x14ac:dyDescent="0.2">
      <c r="A38" s="3"/>
      <c r="B38" s="3"/>
      <c r="C38" s="3"/>
      <c r="D38" s="1" t="s">
        <v>144</v>
      </c>
      <c r="E38" s="3"/>
      <c r="F38" s="1" t="s">
        <v>116</v>
      </c>
      <c r="G38" s="1" t="s">
        <v>117</v>
      </c>
      <c r="H38" s="1" t="s">
        <v>118</v>
      </c>
      <c r="I38" s="1" t="s">
        <v>25</v>
      </c>
      <c r="J38" s="1" t="s">
        <v>26</v>
      </c>
      <c r="K38" s="3">
        <v>17.670000000000002</v>
      </c>
      <c r="L38" s="3">
        <v>9.15</v>
      </c>
      <c r="M38" s="3">
        <v>4.8</v>
      </c>
      <c r="N38" s="3">
        <v>5.14</v>
      </c>
      <c r="O38" s="3">
        <v>9.91</v>
      </c>
      <c r="P38" s="3">
        <v>20.71</v>
      </c>
      <c r="Q38" s="3">
        <v>10</v>
      </c>
      <c r="R38" s="3">
        <v>87</v>
      </c>
      <c r="S38" s="3">
        <v>86</v>
      </c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3.5" customHeight="1" x14ac:dyDescent="0.2">
      <c r="A39" s="3"/>
      <c r="B39" s="3"/>
      <c r="C39" s="3"/>
      <c r="D39" s="1" t="s">
        <v>144</v>
      </c>
      <c r="E39" s="3"/>
      <c r="F39" s="1" t="s">
        <v>119</v>
      </c>
      <c r="G39" s="1" t="s">
        <v>120</v>
      </c>
      <c r="H39" s="1" t="s">
        <v>121</v>
      </c>
      <c r="I39" s="1" t="s">
        <v>25</v>
      </c>
      <c r="J39" s="1" t="s">
        <v>26</v>
      </c>
      <c r="K39" s="3">
        <v>17.86</v>
      </c>
      <c r="L39" s="3">
        <v>9.49</v>
      </c>
      <c r="M39" s="1" t="s">
        <v>685</v>
      </c>
      <c r="N39" s="3">
        <v>5.32</v>
      </c>
      <c r="O39" s="3">
        <v>10.67</v>
      </c>
      <c r="P39" s="3">
        <v>20.91</v>
      </c>
      <c r="Q39" s="3">
        <v>8</v>
      </c>
      <c r="R39" s="3">
        <v>81</v>
      </c>
      <c r="S39" s="3">
        <v>81</v>
      </c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3.5" customHeight="1" x14ac:dyDescent="0.2">
      <c r="A40" s="3"/>
      <c r="B40" s="3"/>
      <c r="C40" s="3"/>
      <c r="D40" s="1" t="s">
        <v>144</v>
      </c>
      <c r="E40" s="3"/>
      <c r="F40" s="1" t="s">
        <v>122</v>
      </c>
      <c r="G40" s="1" t="s">
        <v>123</v>
      </c>
      <c r="H40" s="1" t="s">
        <v>124</v>
      </c>
      <c r="I40" s="1" t="s">
        <v>25</v>
      </c>
      <c r="J40" s="3"/>
      <c r="K40" s="3">
        <v>15</v>
      </c>
      <c r="L40" s="3">
        <v>8.82</v>
      </c>
      <c r="M40" s="3">
        <v>3.98</v>
      </c>
      <c r="N40" s="1" t="s">
        <v>125</v>
      </c>
      <c r="O40" s="3">
        <v>9.61</v>
      </c>
      <c r="P40" s="3">
        <v>19.78</v>
      </c>
      <c r="Q40" s="3">
        <v>10</v>
      </c>
      <c r="R40" s="3">
        <v>83</v>
      </c>
      <c r="S40" s="3">
        <v>80</v>
      </c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3.5" customHeight="1" x14ac:dyDescent="0.2">
      <c r="A41" s="3"/>
      <c r="B41" s="3"/>
      <c r="C41" s="3"/>
      <c r="D41" s="1" t="s">
        <v>144</v>
      </c>
      <c r="E41" s="3"/>
      <c r="F41" s="1" t="s">
        <v>126</v>
      </c>
      <c r="G41" s="1" t="s">
        <v>127</v>
      </c>
      <c r="H41" s="1" t="s">
        <v>128</v>
      </c>
      <c r="I41" s="1" t="s">
        <v>25</v>
      </c>
      <c r="J41" s="1" t="s">
        <v>30</v>
      </c>
      <c r="K41" s="1" t="s">
        <v>685</v>
      </c>
      <c r="L41" s="1" t="s">
        <v>685</v>
      </c>
      <c r="M41" s="1" t="s">
        <v>685</v>
      </c>
      <c r="N41" s="1" t="s">
        <v>685</v>
      </c>
      <c r="O41" s="1" t="s">
        <v>685</v>
      </c>
      <c r="P41" s="3">
        <v>21.21</v>
      </c>
      <c r="Q41" s="3">
        <v>8</v>
      </c>
      <c r="R41" s="3">
        <v>79</v>
      </c>
      <c r="S41" s="3">
        <v>80</v>
      </c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3.5" customHeight="1" x14ac:dyDescent="0.2">
      <c r="A42" s="3"/>
      <c r="B42" s="3"/>
      <c r="C42" s="3"/>
      <c r="D42" s="1" t="s">
        <v>144</v>
      </c>
      <c r="E42" s="3"/>
      <c r="F42" s="1" t="s">
        <v>129</v>
      </c>
      <c r="G42" s="1" t="s">
        <v>130</v>
      </c>
      <c r="H42" s="1" t="s">
        <v>131</v>
      </c>
      <c r="I42" s="1" t="s">
        <v>25</v>
      </c>
      <c r="J42" s="1" t="s">
        <v>30</v>
      </c>
      <c r="K42" s="3">
        <v>17.05</v>
      </c>
      <c r="L42" s="3">
        <v>8.8000000000000007</v>
      </c>
      <c r="M42" s="3">
        <v>4.2699999999999996</v>
      </c>
      <c r="N42" s="3">
        <v>4.4000000000000004</v>
      </c>
      <c r="O42" s="3">
        <v>8.8800000000000008</v>
      </c>
      <c r="P42" s="3">
        <v>20.399999999999999</v>
      </c>
      <c r="Q42" s="3">
        <v>9</v>
      </c>
      <c r="R42" s="3">
        <v>68</v>
      </c>
      <c r="S42" s="3">
        <v>81</v>
      </c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3.5" customHeight="1" x14ac:dyDescent="0.2">
      <c r="A43" s="3"/>
      <c r="B43" s="3"/>
      <c r="C43" s="3"/>
      <c r="D43" s="1" t="s">
        <v>144</v>
      </c>
      <c r="E43" s="3"/>
      <c r="F43" s="1" t="s">
        <v>132</v>
      </c>
      <c r="G43" s="1" t="s">
        <v>133</v>
      </c>
      <c r="H43" s="1" t="s">
        <v>134</v>
      </c>
      <c r="I43" s="1" t="s">
        <v>25</v>
      </c>
      <c r="J43" s="1" t="s">
        <v>26</v>
      </c>
      <c r="K43" s="3">
        <v>17.89</v>
      </c>
      <c r="L43" s="3">
        <v>9.58</v>
      </c>
      <c r="M43" s="3">
        <v>4.43</v>
      </c>
      <c r="N43" s="3">
        <v>5.2</v>
      </c>
      <c r="O43" s="3">
        <v>9.56</v>
      </c>
      <c r="P43" s="3">
        <v>22.64</v>
      </c>
      <c r="Q43" s="3">
        <v>10</v>
      </c>
      <c r="R43" s="3">
        <v>86</v>
      </c>
      <c r="S43" s="3">
        <v>86</v>
      </c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3.5" customHeight="1" x14ac:dyDescent="0.2">
      <c r="A44" s="3"/>
      <c r="B44" s="3"/>
      <c r="C44" s="3"/>
      <c r="D44" s="1" t="s">
        <v>144</v>
      </c>
      <c r="E44" s="3"/>
      <c r="F44" s="1" t="s">
        <v>135</v>
      </c>
      <c r="G44" s="1" t="s">
        <v>136</v>
      </c>
      <c r="H44" s="1" t="s">
        <v>137</v>
      </c>
      <c r="I44" s="1" t="s">
        <v>25</v>
      </c>
      <c r="J44" s="1" t="s">
        <v>30</v>
      </c>
      <c r="K44" s="3">
        <v>17.350000000000001</v>
      </c>
      <c r="L44" s="3">
        <v>9.01</v>
      </c>
      <c r="M44" s="3">
        <v>4.6399999999999997</v>
      </c>
      <c r="N44" s="3">
        <v>4.88</v>
      </c>
      <c r="O44" s="3">
        <v>10.07</v>
      </c>
      <c r="P44" s="3">
        <v>20.96</v>
      </c>
      <c r="Q44" s="3">
        <v>11</v>
      </c>
      <c r="R44" s="3">
        <v>84</v>
      </c>
      <c r="S44" s="3">
        <v>86</v>
      </c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3.5" customHeight="1" x14ac:dyDescent="0.2">
      <c r="A45" s="3"/>
      <c r="B45" s="3"/>
      <c r="C45" s="3"/>
      <c r="D45" s="1" t="s">
        <v>144</v>
      </c>
      <c r="E45" s="3"/>
      <c r="F45" s="1" t="s">
        <v>138</v>
      </c>
      <c r="G45" s="1" t="s">
        <v>139</v>
      </c>
      <c r="H45" s="1" t="s">
        <v>33</v>
      </c>
      <c r="I45" s="1" t="s">
        <v>25</v>
      </c>
      <c r="J45" s="1" t="s">
        <v>26</v>
      </c>
      <c r="K45" s="3">
        <v>16.78</v>
      </c>
      <c r="L45" s="3">
        <v>9.5</v>
      </c>
      <c r="M45" s="3">
        <v>4.0599999999999996</v>
      </c>
      <c r="N45" s="3">
        <v>4.5</v>
      </c>
      <c r="O45" s="3">
        <v>9.17</v>
      </c>
      <c r="P45" s="3">
        <v>20.79</v>
      </c>
      <c r="Q45" s="3">
        <v>10</v>
      </c>
      <c r="R45" s="3">
        <v>78</v>
      </c>
      <c r="S45" s="3">
        <v>85</v>
      </c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3.5" customHeight="1" x14ac:dyDescent="0.2">
      <c r="A46" s="3"/>
      <c r="B46" s="3"/>
      <c r="C46" s="3"/>
      <c r="D46" s="1" t="s">
        <v>144</v>
      </c>
      <c r="E46" s="3"/>
      <c r="F46" s="1" t="s">
        <v>140</v>
      </c>
      <c r="G46" s="4" t="s">
        <v>141</v>
      </c>
      <c r="H46" s="1" t="s">
        <v>142</v>
      </c>
      <c r="I46" s="1" t="s">
        <v>25</v>
      </c>
      <c r="J46" s="1" t="s">
        <v>26</v>
      </c>
      <c r="K46" s="3">
        <v>17.63</v>
      </c>
      <c r="L46" s="3">
        <v>9.59</v>
      </c>
      <c r="M46" s="3">
        <v>4.22</v>
      </c>
      <c r="N46" s="3">
        <v>4.78</v>
      </c>
      <c r="O46" s="3">
        <v>9.27</v>
      </c>
      <c r="P46" s="3">
        <v>20.69</v>
      </c>
      <c r="Q46" s="3">
        <v>10</v>
      </c>
      <c r="R46" s="3">
        <v>89</v>
      </c>
      <c r="S46" s="3">
        <v>86</v>
      </c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3.5" customHeight="1" x14ac:dyDescent="0.2">
      <c r="A47" s="3"/>
      <c r="B47" s="3"/>
      <c r="C47" s="3"/>
      <c r="D47" s="1" t="s">
        <v>144</v>
      </c>
      <c r="E47" s="3"/>
      <c r="F47" s="1" t="s">
        <v>143</v>
      </c>
      <c r="G47" s="1" t="s">
        <v>38</v>
      </c>
      <c r="H47" s="1" t="s">
        <v>39</v>
      </c>
      <c r="I47" s="1" t="s">
        <v>25</v>
      </c>
      <c r="J47" s="1" t="s">
        <v>26</v>
      </c>
      <c r="K47" s="3">
        <v>18.39</v>
      </c>
      <c r="L47" s="3">
        <v>9.1999999999999993</v>
      </c>
      <c r="M47" s="3">
        <v>4.1900000000000004</v>
      </c>
      <c r="N47" s="3">
        <v>5.1100000000000003</v>
      </c>
      <c r="O47" s="3">
        <v>9.31</v>
      </c>
      <c r="P47" s="3">
        <v>20.52</v>
      </c>
      <c r="Q47" s="3">
        <v>11</v>
      </c>
      <c r="R47" s="3">
        <v>87</v>
      </c>
      <c r="S47" s="3">
        <v>91</v>
      </c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3.5" customHeight="1" x14ac:dyDescent="0.2">
      <c r="A48" s="3"/>
      <c r="B48" s="3"/>
      <c r="C48" s="3"/>
      <c r="D48" s="1" t="s">
        <v>144</v>
      </c>
      <c r="E48" s="3"/>
      <c r="F48" s="1" t="s">
        <v>145</v>
      </c>
      <c r="G48" s="1" t="s">
        <v>146</v>
      </c>
      <c r="H48" s="1" t="s">
        <v>128</v>
      </c>
      <c r="I48" s="1" t="s">
        <v>25</v>
      </c>
      <c r="J48" s="1" t="s">
        <v>26</v>
      </c>
      <c r="K48" s="3">
        <v>16.82</v>
      </c>
      <c r="L48" s="3">
        <v>9.76</v>
      </c>
      <c r="M48" s="3">
        <v>4.2</v>
      </c>
      <c r="N48" s="3">
        <v>5.28</v>
      </c>
      <c r="O48" s="3">
        <v>9.5299999999999994</v>
      </c>
      <c r="P48" s="3">
        <v>21.12</v>
      </c>
      <c r="Q48" s="3">
        <v>11</v>
      </c>
      <c r="R48" s="3">
        <v>85</v>
      </c>
      <c r="S48" s="3">
        <v>87</v>
      </c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ht="13.5" customHeight="1" x14ac:dyDescent="0.2">
      <c r="A49" s="3"/>
      <c r="B49" s="3"/>
      <c r="C49" s="3"/>
      <c r="D49" s="1" t="s">
        <v>144</v>
      </c>
      <c r="E49" s="3"/>
      <c r="F49" s="1" t="s">
        <v>147</v>
      </c>
      <c r="G49" s="1" t="s">
        <v>148</v>
      </c>
      <c r="H49" s="1" t="s">
        <v>149</v>
      </c>
      <c r="I49" s="1" t="s">
        <v>25</v>
      </c>
      <c r="J49" s="1" t="s">
        <v>26</v>
      </c>
      <c r="K49" s="3">
        <v>16.920000000000002</v>
      </c>
      <c r="L49" s="3">
        <v>9.1</v>
      </c>
      <c r="M49" s="3">
        <v>4.12</v>
      </c>
      <c r="N49" s="3">
        <v>4.68</v>
      </c>
      <c r="O49" s="3">
        <v>9.2899999999999991</v>
      </c>
      <c r="P49" s="3">
        <v>21.7</v>
      </c>
      <c r="Q49" s="3">
        <v>10</v>
      </c>
      <c r="R49" s="3">
        <v>81</v>
      </c>
      <c r="S49" s="3">
        <v>76</v>
      </c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3.5" customHeight="1" x14ac:dyDescent="0.2">
      <c r="A50" s="3"/>
      <c r="B50" s="3"/>
      <c r="C50" s="3"/>
      <c r="D50" s="1" t="s">
        <v>144</v>
      </c>
      <c r="E50" s="3"/>
      <c r="F50" s="1" t="s">
        <v>150</v>
      </c>
      <c r="G50" s="1" t="s">
        <v>151</v>
      </c>
      <c r="H50" s="1" t="s">
        <v>152</v>
      </c>
      <c r="I50" s="1" t="s">
        <v>25</v>
      </c>
      <c r="J50" s="1" t="s">
        <v>30</v>
      </c>
      <c r="K50" s="3">
        <v>18.18</v>
      </c>
      <c r="L50" s="3">
        <v>9.66</v>
      </c>
      <c r="M50" s="3">
        <v>4.42</v>
      </c>
      <c r="N50" s="3">
        <v>4.6399999999999997</v>
      </c>
      <c r="O50" s="3">
        <v>9.93</v>
      </c>
      <c r="P50" s="3">
        <v>21.13</v>
      </c>
      <c r="Q50" s="3">
        <v>12</v>
      </c>
      <c r="R50" s="3">
        <v>84</v>
      </c>
      <c r="S50" s="3">
        <v>85</v>
      </c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3.5" customHeight="1" x14ac:dyDescent="0.2">
      <c r="A51" s="3"/>
      <c r="B51" s="3"/>
      <c r="C51" s="3"/>
      <c r="D51" s="1" t="s">
        <v>144</v>
      </c>
      <c r="E51" s="3"/>
      <c r="F51" s="1" t="s">
        <v>153</v>
      </c>
      <c r="G51" s="1" t="s">
        <v>154</v>
      </c>
      <c r="H51" s="1" t="s">
        <v>155</v>
      </c>
      <c r="I51" s="1" t="s">
        <v>25</v>
      </c>
      <c r="J51" s="1" t="s">
        <v>30</v>
      </c>
      <c r="K51" s="3">
        <v>17.920000000000002</v>
      </c>
      <c r="L51" s="3">
        <v>9.3800000000000008</v>
      </c>
      <c r="M51" s="3">
        <v>4.0999999999999996</v>
      </c>
      <c r="N51" s="3">
        <v>5.35</v>
      </c>
      <c r="O51" s="3">
        <v>9.67</v>
      </c>
      <c r="P51" s="3">
        <v>21.51</v>
      </c>
      <c r="Q51" s="3">
        <v>9</v>
      </c>
      <c r="R51" s="3">
        <v>85</v>
      </c>
      <c r="S51" s="3">
        <v>87</v>
      </c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3.5" customHeight="1" x14ac:dyDescent="0.2">
      <c r="A52" s="3"/>
      <c r="B52" s="3"/>
      <c r="C52" s="3"/>
      <c r="D52" s="1" t="s">
        <v>144</v>
      </c>
      <c r="E52" s="3"/>
      <c r="F52" s="1" t="s">
        <v>156</v>
      </c>
      <c r="G52" s="1" t="s">
        <v>157</v>
      </c>
      <c r="H52" s="1" t="s">
        <v>158</v>
      </c>
      <c r="I52" s="1" t="s">
        <v>25</v>
      </c>
      <c r="J52" s="1" t="s">
        <v>30</v>
      </c>
      <c r="K52" s="3">
        <v>18.16</v>
      </c>
      <c r="L52" s="3">
        <v>10.37</v>
      </c>
      <c r="M52" s="3">
        <v>4.58</v>
      </c>
      <c r="N52" s="3">
        <v>5.38</v>
      </c>
      <c r="O52" s="3">
        <v>9.9600000000000009</v>
      </c>
      <c r="P52" s="3">
        <v>20.79</v>
      </c>
      <c r="Q52" s="3">
        <v>12</v>
      </c>
      <c r="R52" s="3">
        <v>82</v>
      </c>
      <c r="S52" s="3">
        <v>81</v>
      </c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3.5" customHeight="1" x14ac:dyDescent="0.2">
      <c r="A53" s="3"/>
      <c r="B53" s="3"/>
      <c r="C53" s="3"/>
      <c r="D53" s="1" t="s">
        <v>144</v>
      </c>
      <c r="E53" s="3"/>
      <c r="F53" s="1" t="s">
        <v>159</v>
      </c>
      <c r="G53" s="1" t="s">
        <v>160</v>
      </c>
      <c r="H53" s="1" t="s">
        <v>161</v>
      </c>
      <c r="I53" s="1" t="s">
        <v>25</v>
      </c>
      <c r="J53" s="1" t="s">
        <v>26</v>
      </c>
      <c r="K53" s="3">
        <v>16.82</v>
      </c>
      <c r="L53" s="3">
        <v>9.6199999999999992</v>
      </c>
      <c r="M53" s="3">
        <v>4.0199999999999996</v>
      </c>
      <c r="N53" s="3">
        <v>4.9000000000000004</v>
      </c>
      <c r="O53" s="3">
        <v>8.7799999999999994</v>
      </c>
      <c r="P53" s="3">
        <v>20.63</v>
      </c>
      <c r="Q53" s="3">
        <v>11</v>
      </c>
      <c r="R53" s="3">
        <v>86</v>
      </c>
      <c r="S53" s="3">
        <v>88</v>
      </c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3.5" customHeight="1" x14ac:dyDescent="0.2">
      <c r="A54" s="3"/>
      <c r="B54" s="3"/>
      <c r="C54" s="3"/>
      <c r="D54" s="1" t="s">
        <v>144</v>
      </c>
      <c r="E54" s="3"/>
      <c r="F54" s="1" t="s">
        <v>162</v>
      </c>
      <c r="G54" s="1" t="s">
        <v>163</v>
      </c>
      <c r="H54" s="1" t="s">
        <v>158</v>
      </c>
      <c r="I54" s="1" t="s">
        <v>25</v>
      </c>
      <c r="J54" s="1" t="s">
        <v>30</v>
      </c>
      <c r="K54" s="3">
        <v>15.89</v>
      </c>
      <c r="L54" s="3">
        <v>9.34</v>
      </c>
      <c r="M54" s="3">
        <v>4.03</v>
      </c>
      <c r="N54" s="3">
        <v>4.8099999999999996</v>
      </c>
      <c r="O54" s="3">
        <v>9.6199999999999992</v>
      </c>
      <c r="P54" s="3">
        <v>21.66</v>
      </c>
      <c r="Q54" s="3">
        <v>11</v>
      </c>
      <c r="R54" s="3">
        <v>79</v>
      </c>
      <c r="S54" s="3">
        <v>86</v>
      </c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3.5" customHeight="1" x14ac:dyDescent="0.2">
      <c r="A55" s="3"/>
      <c r="B55" s="3"/>
      <c r="C55" s="3"/>
      <c r="D55" s="1" t="s">
        <v>144</v>
      </c>
      <c r="E55" s="3"/>
      <c r="F55" s="1" t="s">
        <v>164</v>
      </c>
      <c r="G55" s="1" t="s">
        <v>157</v>
      </c>
      <c r="H55" s="1" t="s">
        <v>158</v>
      </c>
      <c r="I55" s="1" t="s">
        <v>25</v>
      </c>
      <c r="J55" s="1" t="s">
        <v>26</v>
      </c>
      <c r="K55" s="3">
        <v>17.71</v>
      </c>
      <c r="L55" s="3">
        <v>9.42</v>
      </c>
      <c r="M55" s="3">
        <v>4.0599999999999996</v>
      </c>
      <c r="N55" s="3">
        <v>5.13</v>
      </c>
      <c r="O55" s="3">
        <v>9.14</v>
      </c>
      <c r="P55" s="3">
        <v>21.07</v>
      </c>
      <c r="Q55" s="3">
        <v>13</v>
      </c>
      <c r="R55" s="3">
        <v>92</v>
      </c>
      <c r="S55" s="3">
        <v>79</v>
      </c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3.5" customHeight="1" x14ac:dyDescent="0.2">
      <c r="A56" s="3"/>
      <c r="B56" s="3"/>
      <c r="C56" s="3"/>
      <c r="D56" s="1" t="s">
        <v>144</v>
      </c>
      <c r="E56" s="3"/>
      <c r="F56" s="4" t="s">
        <v>165</v>
      </c>
      <c r="G56" s="1" t="s">
        <v>23</v>
      </c>
      <c r="H56" s="1" t="s">
        <v>24</v>
      </c>
      <c r="I56" s="1" t="s">
        <v>25</v>
      </c>
      <c r="J56" s="1" t="s">
        <v>26</v>
      </c>
      <c r="K56" s="3">
        <v>17.02</v>
      </c>
      <c r="L56" s="3">
        <v>9.6199999999999992</v>
      </c>
      <c r="M56" s="1" t="s">
        <v>685</v>
      </c>
      <c r="N56" s="1" t="s">
        <v>685</v>
      </c>
      <c r="O56" s="3">
        <v>9.64</v>
      </c>
      <c r="P56" s="3">
        <v>21.47</v>
      </c>
      <c r="Q56" s="3">
        <v>12</v>
      </c>
      <c r="R56" s="3">
        <v>84</v>
      </c>
      <c r="S56" s="3">
        <v>74</v>
      </c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3.5" customHeight="1" x14ac:dyDescent="0.2">
      <c r="A57" s="3"/>
      <c r="B57" s="3"/>
      <c r="C57" s="3"/>
      <c r="D57" s="1" t="s">
        <v>144</v>
      </c>
      <c r="E57" s="3"/>
      <c r="F57" s="1" t="s">
        <v>166</v>
      </c>
      <c r="G57" s="1" t="s">
        <v>167</v>
      </c>
      <c r="H57" s="1" t="s">
        <v>161</v>
      </c>
      <c r="I57" s="1" t="s">
        <v>25</v>
      </c>
      <c r="J57" s="1" t="s">
        <v>30</v>
      </c>
      <c r="K57" s="3">
        <v>17.28</v>
      </c>
      <c r="L57" s="3">
        <v>9.52</v>
      </c>
      <c r="M57" s="3">
        <v>4.58</v>
      </c>
      <c r="N57" s="3">
        <v>5.0199999999999996</v>
      </c>
      <c r="O57" s="3">
        <v>9.67</v>
      </c>
      <c r="P57" s="3">
        <v>19.61</v>
      </c>
      <c r="Q57" s="3">
        <v>9</v>
      </c>
      <c r="R57" s="3">
        <v>81</v>
      </c>
      <c r="S57" s="3">
        <v>83</v>
      </c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3.5" customHeight="1" x14ac:dyDescent="0.2">
      <c r="A58" s="3"/>
      <c r="B58" s="3"/>
      <c r="C58" s="3"/>
      <c r="D58" s="1" t="s">
        <v>144</v>
      </c>
      <c r="E58" s="3"/>
      <c r="F58" s="1" t="s">
        <v>168</v>
      </c>
      <c r="G58" s="1" t="s">
        <v>169</v>
      </c>
      <c r="H58" s="1" t="s">
        <v>170</v>
      </c>
      <c r="I58" s="1" t="s">
        <v>25</v>
      </c>
      <c r="J58" s="1" t="s">
        <v>26</v>
      </c>
      <c r="K58" s="3">
        <v>15.27</v>
      </c>
      <c r="L58" s="3">
        <v>8.65</v>
      </c>
      <c r="M58" s="3">
        <v>4.2300000000000004</v>
      </c>
      <c r="N58" s="3">
        <v>5.05</v>
      </c>
      <c r="O58" s="3">
        <v>9.2899999999999991</v>
      </c>
      <c r="P58" s="3">
        <v>20.58</v>
      </c>
      <c r="Q58" s="3">
        <v>11</v>
      </c>
      <c r="R58" s="3">
        <v>78</v>
      </c>
      <c r="S58" s="3">
        <v>78</v>
      </c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3.5" customHeight="1" x14ac:dyDescent="0.2">
      <c r="A59" s="3"/>
      <c r="B59" s="3"/>
      <c r="C59" s="3"/>
      <c r="D59" s="1" t="s">
        <v>144</v>
      </c>
      <c r="E59" s="3"/>
      <c r="F59" s="1" t="s">
        <v>171</v>
      </c>
      <c r="G59" s="1" t="s">
        <v>172</v>
      </c>
      <c r="H59" s="1" t="s">
        <v>173</v>
      </c>
      <c r="I59" s="1" t="s">
        <v>25</v>
      </c>
      <c r="J59" s="1" t="s">
        <v>26</v>
      </c>
      <c r="K59" s="3">
        <v>16.71</v>
      </c>
      <c r="L59" s="3">
        <v>8.94</v>
      </c>
      <c r="M59" s="3">
        <v>4.24</v>
      </c>
      <c r="N59" s="3">
        <v>4.68</v>
      </c>
      <c r="O59" s="3">
        <v>9.51</v>
      </c>
      <c r="P59" s="3">
        <v>21.05</v>
      </c>
      <c r="Q59" s="3">
        <v>9</v>
      </c>
      <c r="R59" s="3">
        <v>79</v>
      </c>
      <c r="S59" s="3">
        <v>87</v>
      </c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3.5" customHeight="1" x14ac:dyDescent="0.2">
      <c r="A60" s="3"/>
      <c r="B60" s="3"/>
      <c r="C60" s="3"/>
      <c r="D60" s="1" t="s">
        <v>144</v>
      </c>
      <c r="E60" s="3"/>
      <c r="F60" s="1" t="s">
        <v>174</v>
      </c>
      <c r="G60" s="1" t="s">
        <v>175</v>
      </c>
      <c r="H60" s="1" t="s">
        <v>176</v>
      </c>
      <c r="I60" s="1" t="s">
        <v>25</v>
      </c>
      <c r="J60" s="1" t="s">
        <v>30</v>
      </c>
      <c r="K60" s="3">
        <v>17.489999999999998</v>
      </c>
      <c r="L60" s="3">
        <v>9.42</v>
      </c>
      <c r="M60" s="3">
        <v>4.37</v>
      </c>
      <c r="N60" s="3">
        <v>4.92</v>
      </c>
      <c r="O60" s="3">
        <v>9.3800000000000008</v>
      </c>
      <c r="P60" s="3">
        <v>21.16</v>
      </c>
      <c r="Q60" s="3">
        <v>10</v>
      </c>
      <c r="R60" s="3">
        <v>87</v>
      </c>
      <c r="S60" s="3">
        <v>81</v>
      </c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3.5" customHeight="1" x14ac:dyDescent="0.2">
      <c r="A61" s="3"/>
      <c r="B61" s="3"/>
      <c r="C61" s="3"/>
      <c r="D61" s="1" t="s">
        <v>144</v>
      </c>
      <c r="E61" s="3"/>
      <c r="F61" s="1" t="s">
        <v>177</v>
      </c>
      <c r="G61" s="1" t="s">
        <v>178</v>
      </c>
      <c r="H61" s="1" t="s">
        <v>170</v>
      </c>
      <c r="I61" s="1" t="s">
        <v>25</v>
      </c>
      <c r="J61" s="1" t="s">
        <v>26</v>
      </c>
      <c r="K61" s="3">
        <v>15.17</v>
      </c>
      <c r="L61" s="3">
        <v>7.95</v>
      </c>
      <c r="M61" s="3">
        <v>3.79</v>
      </c>
      <c r="N61" s="3">
        <v>4.5199999999999996</v>
      </c>
      <c r="O61" s="3">
        <v>9.24</v>
      </c>
      <c r="P61" s="3">
        <v>20.53</v>
      </c>
      <c r="Q61" s="3">
        <v>12</v>
      </c>
      <c r="R61" s="3">
        <v>76</v>
      </c>
      <c r="S61" s="3">
        <v>77</v>
      </c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3.5" customHeight="1" x14ac:dyDescent="0.2">
      <c r="A62" s="3"/>
      <c r="B62" s="3"/>
      <c r="C62" s="3"/>
      <c r="D62" s="1" t="s">
        <v>144</v>
      </c>
      <c r="E62" s="3"/>
      <c r="F62" s="1" t="s">
        <v>179</v>
      </c>
      <c r="G62" s="1" t="s">
        <v>180</v>
      </c>
      <c r="H62" s="1" t="s">
        <v>181</v>
      </c>
      <c r="I62" s="1" t="s">
        <v>25</v>
      </c>
      <c r="J62" s="1" t="s">
        <v>26</v>
      </c>
      <c r="K62" s="3">
        <v>16.23</v>
      </c>
      <c r="L62" s="3">
        <v>9.06</v>
      </c>
      <c r="M62" s="3">
        <v>4.5199999999999996</v>
      </c>
      <c r="N62" s="1" t="s">
        <v>125</v>
      </c>
      <c r="O62" s="3">
        <v>9.34</v>
      </c>
      <c r="P62" s="3">
        <v>19.98</v>
      </c>
      <c r="Q62" s="3">
        <v>9</v>
      </c>
      <c r="R62" s="3">
        <v>83</v>
      </c>
      <c r="S62" s="3">
        <v>82</v>
      </c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3.5" customHeight="1" x14ac:dyDescent="0.2">
      <c r="A63" s="3"/>
      <c r="B63" s="3"/>
      <c r="C63" s="3"/>
      <c r="D63" s="1" t="s">
        <v>144</v>
      </c>
      <c r="E63" s="3"/>
      <c r="F63" s="1" t="s">
        <v>182</v>
      </c>
      <c r="G63" s="1" t="s">
        <v>183</v>
      </c>
      <c r="H63" s="1" t="s">
        <v>184</v>
      </c>
      <c r="I63" s="1" t="s">
        <v>25</v>
      </c>
      <c r="J63" s="1" t="s">
        <v>30</v>
      </c>
      <c r="K63" s="3">
        <v>15.4</v>
      </c>
      <c r="L63" s="3">
        <v>9.43</v>
      </c>
      <c r="M63" s="3">
        <v>3.96</v>
      </c>
      <c r="N63" s="3">
        <v>4.79</v>
      </c>
      <c r="O63" s="3">
        <v>8.9700000000000006</v>
      </c>
      <c r="P63" s="3">
        <v>20.96</v>
      </c>
      <c r="Q63" s="3">
        <v>12</v>
      </c>
      <c r="R63" s="3">
        <v>85</v>
      </c>
      <c r="S63" s="3">
        <v>87</v>
      </c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3.5" customHeight="1" x14ac:dyDescent="0.2">
      <c r="A64" s="3"/>
      <c r="B64" s="3"/>
      <c r="C64" s="3"/>
      <c r="D64" s="1" t="s">
        <v>144</v>
      </c>
      <c r="E64" s="3"/>
      <c r="F64" s="1" t="s">
        <v>185</v>
      </c>
      <c r="G64" s="1" t="s">
        <v>186</v>
      </c>
      <c r="H64" s="1" t="s">
        <v>121</v>
      </c>
      <c r="I64" s="1" t="s">
        <v>25</v>
      </c>
      <c r="J64" s="1" t="s">
        <v>30</v>
      </c>
      <c r="K64" s="3">
        <v>15.63</v>
      </c>
      <c r="L64" s="3">
        <v>9.11</v>
      </c>
      <c r="M64" s="3">
        <v>4.3600000000000003</v>
      </c>
      <c r="N64" s="3">
        <v>4.3899999999999997</v>
      </c>
      <c r="O64" s="3">
        <v>8.6</v>
      </c>
      <c r="P64" s="3">
        <v>20.09</v>
      </c>
      <c r="Q64" s="3">
        <v>13</v>
      </c>
      <c r="R64" s="3">
        <v>82</v>
      </c>
      <c r="S64" s="3">
        <v>78</v>
      </c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3.5" customHeight="1" x14ac:dyDescent="0.2">
      <c r="A65" s="3"/>
      <c r="B65" s="3"/>
      <c r="C65" s="3"/>
      <c r="D65" s="1" t="s">
        <v>144</v>
      </c>
      <c r="E65" s="3"/>
      <c r="F65" s="1" t="s">
        <v>187</v>
      </c>
      <c r="G65" s="1" t="s">
        <v>188</v>
      </c>
      <c r="H65" s="3"/>
      <c r="I65" s="1" t="s">
        <v>25</v>
      </c>
      <c r="J65" s="3"/>
      <c r="K65" s="3">
        <v>18.32</v>
      </c>
      <c r="L65" s="3">
        <v>9.89</v>
      </c>
      <c r="M65" s="3">
        <v>4.71</v>
      </c>
      <c r="N65" s="3">
        <v>5.05</v>
      </c>
      <c r="O65" s="3">
        <v>9.5</v>
      </c>
      <c r="P65" s="3">
        <v>20.84</v>
      </c>
      <c r="Q65" s="3">
        <v>9</v>
      </c>
      <c r="R65" s="3">
        <v>76</v>
      </c>
      <c r="S65" s="3">
        <v>78</v>
      </c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3.5" customHeight="1" x14ac:dyDescent="0.2">
      <c r="A66" s="3"/>
      <c r="B66" s="3"/>
      <c r="C66" s="3"/>
      <c r="D66" s="1" t="s">
        <v>144</v>
      </c>
      <c r="E66" s="3"/>
      <c r="F66" s="1" t="s">
        <v>189</v>
      </c>
      <c r="G66" s="1" t="s">
        <v>64</v>
      </c>
      <c r="H66" s="1" t="s">
        <v>39</v>
      </c>
      <c r="I66" s="1" t="s">
        <v>25</v>
      </c>
      <c r="J66" s="1" t="s">
        <v>26</v>
      </c>
      <c r="K66" s="3">
        <v>18.43</v>
      </c>
      <c r="L66" s="3">
        <v>9.36</v>
      </c>
      <c r="M66" s="3">
        <v>4.3099999999999996</v>
      </c>
      <c r="N66" s="3">
        <v>5.21</v>
      </c>
      <c r="O66" s="3">
        <v>10.43</v>
      </c>
      <c r="P66" s="3">
        <v>21.66</v>
      </c>
      <c r="Q66" s="3">
        <v>9</v>
      </c>
      <c r="R66" s="3">
        <v>88</v>
      </c>
      <c r="S66" s="3">
        <v>87</v>
      </c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3.5" customHeight="1" x14ac:dyDescent="0.2">
      <c r="A67" s="3"/>
      <c r="B67" s="3"/>
      <c r="C67" s="3"/>
      <c r="D67" s="1" t="s">
        <v>144</v>
      </c>
      <c r="E67" s="3"/>
      <c r="F67" s="1" t="s">
        <v>190</v>
      </c>
      <c r="G67" s="1" t="s">
        <v>191</v>
      </c>
      <c r="H67" s="1" t="s">
        <v>192</v>
      </c>
      <c r="I67" s="1" t="s">
        <v>25</v>
      </c>
      <c r="J67" s="1" t="s">
        <v>30</v>
      </c>
      <c r="K67" s="3">
        <v>18.54</v>
      </c>
      <c r="L67" s="3">
        <v>9.6</v>
      </c>
      <c r="M67" s="1" t="s">
        <v>125</v>
      </c>
      <c r="N67" s="1" t="s">
        <v>125</v>
      </c>
      <c r="O67" s="3">
        <v>9.43</v>
      </c>
      <c r="P67" s="3">
        <v>21</v>
      </c>
      <c r="Q67" s="3">
        <v>9</v>
      </c>
      <c r="R67" s="3">
        <v>81</v>
      </c>
      <c r="S67" s="3">
        <v>87</v>
      </c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3.5" customHeight="1" x14ac:dyDescent="0.2">
      <c r="A68" s="3"/>
      <c r="B68" s="3"/>
      <c r="C68" s="3"/>
      <c r="D68" s="1" t="s">
        <v>144</v>
      </c>
      <c r="E68" s="3"/>
      <c r="F68" s="1" t="s">
        <v>193</v>
      </c>
      <c r="G68" s="1" t="s">
        <v>194</v>
      </c>
      <c r="H68" s="1" t="s">
        <v>195</v>
      </c>
      <c r="I68" s="1" t="s">
        <v>25</v>
      </c>
      <c r="J68" s="1" t="s">
        <v>26</v>
      </c>
      <c r="K68" s="3">
        <v>19.149999999999999</v>
      </c>
      <c r="L68" s="3">
        <v>10.91</v>
      </c>
      <c r="M68" s="3">
        <v>4.42</v>
      </c>
      <c r="N68" s="3">
        <v>5.34</v>
      </c>
      <c r="O68" s="3">
        <v>10.27</v>
      </c>
      <c r="P68" s="3">
        <v>21.58</v>
      </c>
      <c r="Q68" s="3">
        <v>10</v>
      </c>
      <c r="R68" s="3">
        <v>81</v>
      </c>
      <c r="S68" s="3">
        <v>80</v>
      </c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3.5" customHeight="1" x14ac:dyDescent="0.2">
      <c r="A69" s="3"/>
      <c r="B69" s="3"/>
      <c r="C69" s="3"/>
      <c r="D69" s="1" t="s">
        <v>144</v>
      </c>
      <c r="E69" s="3"/>
      <c r="F69" s="1" t="s">
        <v>196</v>
      </c>
      <c r="G69" s="1" t="s">
        <v>61</v>
      </c>
      <c r="H69" s="1" t="s">
        <v>197</v>
      </c>
      <c r="I69" s="1" t="s">
        <v>25</v>
      </c>
      <c r="J69" s="1" t="s">
        <v>30</v>
      </c>
      <c r="K69" s="3">
        <v>15.96</v>
      </c>
      <c r="L69" s="3">
        <v>8.57</v>
      </c>
      <c r="M69" s="3">
        <v>3.96</v>
      </c>
      <c r="N69" s="3">
        <v>4.42</v>
      </c>
      <c r="O69" s="3">
        <v>9.18</v>
      </c>
      <c r="P69" s="3">
        <v>19.329999999999998</v>
      </c>
      <c r="Q69" s="3">
        <v>10</v>
      </c>
      <c r="R69" s="3">
        <v>77</v>
      </c>
      <c r="S69" s="3">
        <v>78</v>
      </c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3.5" customHeight="1" x14ac:dyDescent="0.2">
      <c r="A70" s="3"/>
      <c r="B70" s="3"/>
      <c r="C70" s="3"/>
      <c r="D70" s="1" t="s">
        <v>144</v>
      </c>
      <c r="E70" s="3"/>
      <c r="F70" s="1" t="s">
        <v>198</v>
      </c>
      <c r="G70" s="1" t="s">
        <v>199</v>
      </c>
      <c r="H70" s="1" t="s">
        <v>200</v>
      </c>
      <c r="I70" s="1" t="s">
        <v>25</v>
      </c>
      <c r="J70" s="1" t="s">
        <v>26</v>
      </c>
      <c r="K70" s="3">
        <v>18.52</v>
      </c>
      <c r="L70" s="3">
        <v>9.94</v>
      </c>
      <c r="M70" s="3">
        <v>4.3899999999999997</v>
      </c>
      <c r="N70" s="3">
        <v>4.75</v>
      </c>
      <c r="O70" s="3">
        <v>9.49</v>
      </c>
      <c r="P70" s="3">
        <v>21.35</v>
      </c>
      <c r="Q70" s="3">
        <v>12</v>
      </c>
      <c r="R70" s="3">
        <v>83</v>
      </c>
      <c r="S70" s="3">
        <v>76</v>
      </c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3.5" customHeight="1" x14ac:dyDescent="0.2">
      <c r="A71" s="3"/>
      <c r="B71" s="3"/>
      <c r="C71" s="3"/>
      <c r="D71" s="1" t="s">
        <v>144</v>
      </c>
      <c r="E71" s="3"/>
      <c r="F71" s="1" t="s">
        <v>201</v>
      </c>
      <c r="G71" s="1" t="s">
        <v>117</v>
      </c>
      <c r="H71" s="1" t="s">
        <v>118</v>
      </c>
      <c r="I71" s="1" t="s">
        <v>25</v>
      </c>
      <c r="J71" s="1" t="s">
        <v>26</v>
      </c>
      <c r="K71" s="3">
        <v>17.489999999999998</v>
      </c>
      <c r="L71" s="3">
        <v>9.31</v>
      </c>
      <c r="M71" s="3">
        <v>4.32</v>
      </c>
      <c r="N71" s="3">
        <v>5.05</v>
      </c>
      <c r="O71" s="3">
        <v>10.38</v>
      </c>
      <c r="P71" s="3">
        <v>20.56</v>
      </c>
      <c r="Q71" s="3">
        <v>12</v>
      </c>
      <c r="R71" s="3">
        <v>84</v>
      </c>
      <c r="S71" s="3">
        <v>87</v>
      </c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3.5" customHeight="1" x14ac:dyDescent="0.2">
      <c r="A72" s="3"/>
      <c r="B72" s="3"/>
      <c r="C72" s="3"/>
      <c r="D72" s="1" t="s">
        <v>144</v>
      </c>
      <c r="E72" s="3"/>
      <c r="F72" s="1" t="s">
        <v>202</v>
      </c>
      <c r="G72" s="1" t="s">
        <v>203</v>
      </c>
      <c r="H72" s="1" t="s">
        <v>204</v>
      </c>
      <c r="I72" s="1" t="s">
        <v>25</v>
      </c>
      <c r="J72" s="1" t="s">
        <v>30</v>
      </c>
      <c r="K72" s="3">
        <v>17.41</v>
      </c>
      <c r="L72" s="3">
        <v>9.3000000000000007</v>
      </c>
      <c r="M72" s="3">
        <v>4.43</v>
      </c>
      <c r="N72" s="3">
        <v>4.5199999999999996</v>
      </c>
      <c r="O72" s="3">
        <v>9.73</v>
      </c>
      <c r="P72" s="3">
        <v>20.3</v>
      </c>
      <c r="Q72" s="3">
        <v>9</v>
      </c>
      <c r="R72" s="3">
        <v>78</v>
      </c>
      <c r="S72" s="3">
        <v>85</v>
      </c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3.5" customHeight="1" x14ac:dyDescent="0.2">
      <c r="A73" s="3"/>
      <c r="B73" s="3"/>
      <c r="C73" s="3"/>
      <c r="D73" s="1" t="s">
        <v>144</v>
      </c>
      <c r="E73" s="3"/>
      <c r="F73" s="4" t="s">
        <v>165</v>
      </c>
      <c r="G73" s="1" t="s">
        <v>205</v>
      </c>
      <c r="H73" s="1" t="s">
        <v>206</v>
      </c>
      <c r="I73" s="1" t="s">
        <v>25</v>
      </c>
      <c r="J73" s="1" t="s">
        <v>26</v>
      </c>
      <c r="K73" s="3">
        <v>17.52</v>
      </c>
      <c r="L73" s="3">
        <v>9.9600000000000009</v>
      </c>
      <c r="M73" s="3">
        <v>4.37</v>
      </c>
      <c r="N73" s="1" t="s">
        <v>125</v>
      </c>
      <c r="O73" s="3">
        <v>9.81</v>
      </c>
      <c r="P73" s="3">
        <v>19.920000000000002</v>
      </c>
      <c r="Q73" s="3">
        <v>11</v>
      </c>
      <c r="R73" s="3">
        <v>84</v>
      </c>
      <c r="S73" s="3">
        <v>80</v>
      </c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3.5" customHeight="1" x14ac:dyDescent="0.2">
      <c r="A74" s="3"/>
      <c r="B74" s="3"/>
      <c r="C74" s="3"/>
      <c r="D74" s="1" t="s">
        <v>144</v>
      </c>
      <c r="E74" s="3"/>
      <c r="F74" s="1" t="s">
        <v>207</v>
      </c>
      <c r="G74" s="1" t="s">
        <v>208</v>
      </c>
      <c r="H74" s="1" t="s">
        <v>93</v>
      </c>
      <c r="I74" s="1" t="s">
        <v>25</v>
      </c>
      <c r="J74" s="1" t="s">
        <v>26</v>
      </c>
      <c r="K74" s="3">
        <v>17.559999999999999</v>
      </c>
      <c r="L74" s="3">
        <v>9.15</v>
      </c>
      <c r="M74" s="3">
        <v>4.08</v>
      </c>
      <c r="N74" s="3">
        <v>5.18</v>
      </c>
      <c r="O74" s="3">
        <v>9.75</v>
      </c>
      <c r="P74" s="3">
        <v>20.82</v>
      </c>
      <c r="Q74" s="3">
        <v>6</v>
      </c>
      <c r="R74" s="3">
        <v>79</v>
      </c>
      <c r="S74" s="3">
        <v>82</v>
      </c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3.5" customHeight="1" x14ac:dyDescent="0.2">
      <c r="A75" s="3"/>
      <c r="B75" s="3"/>
      <c r="C75" s="3"/>
      <c r="D75" s="1" t="s">
        <v>144</v>
      </c>
      <c r="E75" s="3"/>
      <c r="F75" s="1" t="s">
        <v>209</v>
      </c>
      <c r="G75" s="1" t="s">
        <v>210</v>
      </c>
      <c r="H75" s="1" t="s">
        <v>211</v>
      </c>
      <c r="I75" s="1" t="s">
        <v>25</v>
      </c>
      <c r="J75" s="1" t="s">
        <v>30</v>
      </c>
      <c r="K75" s="3">
        <v>17.95</v>
      </c>
      <c r="L75" s="3">
        <v>9.67</v>
      </c>
      <c r="M75" s="3">
        <v>4.4400000000000004</v>
      </c>
      <c r="N75" s="3">
        <v>5.28</v>
      </c>
      <c r="O75" s="3">
        <v>10.34</v>
      </c>
      <c r="P75" s="3">
        <v>21.26</v>
      </c>
      <c r="Q75" s="3">
        <v>12</v>
      </c>
      <c r="R75" s="3">
        <v>92</v>
      </c>
      <c r="S75" s="3">
        <v>91</v>
      </c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3.5" customHeight="1" x14ac:dyDescent="0.2">
      <c r="A76" s="3"/>
      <c r="B76" s="3"/>
      <c r="C76" s="3"/>
      <c r="D76" s="1" t="s">
        <v>144</v>
      </c>
      <c r="E76" s="3"/>
      <c r="F76" s="1" t="s">
        <v>212</v>
      </c>
      <c r="G76" s="1" t="s">
        <v>213</v>
      </c>
      <c r="H76" s="1" t="s">
        <v>214</v>
      </c>
      <c r="I76" s="1" t="s">
        <v>25</v>
      </c>
      <c r="J76" s="1" t="s">
        <v>30</v>
      </c>
      <c r="K76" s="3">
        <v>15.1</v>
      </c>
      <c r="L76" s="3">
        <v>8.19</v>
      </c>
      <c r="M76" s="3">
        <v>3.87</v>
      </c>
      <c r="N76" s="3">
        <v>4.5599999999999996</v>
      </c>
      <c r="O76" s="3">
        <v>9.59</v>
      </c>
      <c r="P76" s="3">
        <v>19.28</v>
      </c>
      <c r="Q76" s="3">
        <v>14</v>
      </c>
      <c r="R76" s="3">
        <v>76</v>
      </c>
      <c r="S76" s="3">
        <v>73</v>
      </c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3.5" customHeight="1" x14ac:dyDescent="0.2">
      <c r="A77" s="3"/>
      <c r="B77" s="3"/>
      <c r="C77" s="3"/>
      <c r="D77" s="1" t="s">
        <v>144</v>
      </c>
      <c r="E77" s="3"/>
      <c r="F77" s="1" t="s">
        <v>215</v>
      </c>
      <c r="G77" s="1" t="s">
        <v>75</v>
      </c>
      <c r="H77" s="1" t="s">
        <v>76</v>
      </c>
      <c r="I77" s="1" t="s">
        <v>25</v>
      </c>
      <c r="J77" s="1" t="s">
        <v>26</v>
      </c>
      <c r="K77" s="3">
        <v>16.5</v>
      </c>
      <c r="L77" s="3">
        <v>8.98</v>
      </c>
      <c r="M77" s="3">
        <v>4.45</v>
      </c>
      <c r="N77" s="3">
        <v>5.24</v>
      </c>
      <c r="O77" s="3">
        <v>9.74</v>
      </c>
      <c r="P77" s="3">
        <v>20.97</v>
      </c>
      <c r="Q77" s="3">
        <v>7</v>
      </c>
      <c r="R77" s="3">
        <v>80</v>
      </c>
      <c r="S77" s="3">
        <v>80</v>
      </c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3.5" customHeight="1" x14ac:dyDescent="0.2">
      <c r="A78" s="3"/>
      <c r="B78" s="3"/>
      <c r="C78" s="3"/>
      <c r="D78" s="1" t="s">
        <v>144</v>
      </c>
      <c r="E78" s="3"/>
      <c r="F78" s="1" t="s">
        <v>216</v>
      </c>
      <c r="G78" s="1" t="s">
        <v>217</v>
      </c>
      <c r="H78" s="1" t="s">
        <v>76</v>
      </c>
      <c r="I78" s="1" t="s">
        <v>25</v>
      </c>
      <c r="J78" s="3"/>
      <c r="K78" s="3">
        <v>15.27</v>
      </c>
      <c r="L78" s="3">
        <v>8.82</v>
      </c>
      <c r="M78" s="3">
        <v>4.58</v>
      </c>
      <c r="N78" s="3">
        <v>4.8099999999999996</v>
      </c>
      <c r="O78" s="3">
        <v>9.67</v>
      </c>
      <c r="P78" s="3">
        <v>20.65</v>
      </c>
      <c r="Q78" s="3">
        <v>10</v>
      </c>
      <c r="R78" s="3">
        <v>81</v>
      </c>
      <c r="S78" s="3">
        <v>83</v>
      </c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3.5" customHeight="1" x14ac:dyDescent="0.2">
      <c r="A79" s="3"/>
      <c r="B79" s="3"/>
      <c r="C79" s="3"/>
      <c r="D79" s="1" t="s">
        <v>144</v>
      </c>
      <c r="E79" s="3"/>
      <c r="F79" s="1" t="s">
        <v>218</v>
      </c>
      <c r="G79" s="1" t="s">
        <v>219</v>
      </c>
      <c r="H79" s="1" t="s">
        <v>29</v>
      </c>
      <c r="I79" s="1" t="s">
        <v>25</v>
      </c>
      <c r="J79" s="1" t="s">
        <v>30</v>
      </c>
      <c r="K79" s="3">
        <v>16.43</v>
      </c>
      <c r="L79" s="3">
        <v>8.86</v>
      </c>
      <c r="M79" s="3">
        <v>4.33</v>
      </c>
      <c r="N79" s="3">
        <v>5</v>
      </c>
      <c r="O79" s="3">
        <v>9.66</v>
      </c>
      <c r="P79" s="3">
        <v>19.760000000000002</v>
      </c>
      <c r="Q79" s="3">
        <v>7</v>
      </c>
      <c r="R79" s="3">
        <v>75</v>
      </c>
      <c r="S79" s="3">
        <v>72</v>
      </c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3.5" customHeight="1" x14ac:dyDescent="0.2">
      <c r="A80" s="3"/>
      <c r="B80" s="3"/>
      <c r="C80" s="3"/>
      <c r="D80" s="1" t="s">
        <v>144</v>
      </c>
      <c r="E80" s="3"/>
      <c r="F80" s="1" t="s">
        <v>220</v>
      </c>
      <c r="G80" s="1" t="s">
        <v>221</v>
      </c>
      <c r="H80" s="1" t="s">
        <v>222</v>
      </c>
      <c r="I80" s="1" t="s">
        <v>25</v>
      </c>
      <c r="J80" s="1" t="s">
        <v>30</v>
      </c>
      <c r="K80" s="3">
        <v>17.62</v>
      </c>
      <c r="L80" s="3">
        <v>9.31</v>
      </c>
      <c r="M80" s="3">
        <v>4.5199999999999996</v>
      </c>
      <c r="N80" s="3">
        <v>4.92</v>
      </c>
      <c r="O80" s="3">
        <v>9.09</v>
      </c>
      <c r="P80" s="3">
        <v>19.47</v>
      </c>
      <c r="Q80" s="3">
        <v>12</v>
      </c>
      <c r="R80" s="3">
        <v>79</v>
      </c>
      <c r="S80" s="3">
        <v>78</v>
      </c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3.5" customHeight="1" x14ac:dyDescent="0.2">
      <c r="A81" s="3"/>
      <c r="B81" s="3"/>
      <c r="C81" s="3"/>
      <c r="D81" s="1" t="s">
        <v>144</v>
      </c>
      <c r="E81" s="3"/>
      <c r="F81" s="1" t="s">
        <v>223</v>
      </c>
      <c r="G81" s="1" t="s">
        <v>205</v>
      </c>
      <c r="H81" s="1" t="s">
        <v>224</v>
      </c>
      <c r="I81" s="1" t="s">
        <v>25</v>
      </c>
      <c r="J81" s="1" t="s">
        <v>30</v>
      </c>
      <c r="K81" s="3">
        <v>18</v>
      </c>
      <c r="L81" s="3">
        <v>9.34</v>
      </c>
      <c r="M81" s="3">
        <v>4.0599999999999996</v>
      </c>
      <c r="N81" s="3">
        <v>4.8899999999999997</v>
      </c>
      <c r="O81" s="3">
        <v>10.41</v>
      </c>
      <c r="P81" s="3">
        <v>21</v>
      </c>
      <c r="Q81" s="3">
        <v>8</v>
      </c>
      <c r="R81" s="3">
        <v>80</v>
      </c>
      <c r="S81" s="3">
        <v>82</v>
      </c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3.5" customHeight="1" x14ac:dyDescent="0.2">
      <c r="A82" s="3"/>
      <c r="B82" s="3"/>
      <c r="C82" s="3"/>
      <c r="D82" s="1" t="s">
        <v>144</v>
      </c>
      <c r="E82" s="3"/>
      <c r="F82" s="1" t="s">
        <v>225</v>
      </c>
      <c r="G82" s="1" t="s">
        <v>226</v>
      </c>
      <c r="H82" s="1" t="s">
        <v>204</v>
      </c>
      <c r="I82" s="1" t="s">
        <v>25</v>
      </c>
      <c r="J82" s="1" t="s">
        <v>26</v>
      </c>
      <c r="K82" s="3">
        <v>17.84</v>
      </c>
      <c r="L82" s="3">
        <v>8.9700000000000006</v>
      </c>
      <c r="M82" s="3">
        <v>4.8600000000000003</v>
      </c>
      <c r="N82" s="3">
        <v>4.68</v>
      </c>
      <c r="O82" s="3">
        <v>10.32</v>
      </c>
      <c r="P82" s="3">
        <v>21.16</v>
      </c>
      <c r="Q82" s="3">
        <v>9</v>
      </c>
      <c r="R82" s="3">
        <v>81</v>
      </c>
      <c r="S82" s="3">
        <v>80</v>
      </c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3.5" customHeight="1" x14ac:dyDescent="0.2">
      <c r="A83" s="3"/>
      <c r="B83" s="3"/>
      <c r="C83" s="3"/>
      <c r="D83" s="1" t="s">
        <v>144</v>
      </c>
      <c r="E83" s="3"/>
      <c r="F83" s="1" t="s">
        <v>227</v>
      </c>
      <c r="G83" s="1" t="s">
        <v>228</v>
      </c>
      <c r="H83" s="1" t="s">
        <v>229</v>
      </c>
      <c r="I83" s="1" t="s">
        <v>25</v>
      </c>
      <c r="J83" s="1" t="s">
        <v>30</v>
      </c>
      <c r="K83" s="3">
        <v>15.99</v>
      </c>
      <c r="L83" s="3">
        <v>8.7899999999999991</v>
      </c>
      <c r="M83" s="3">
        <v>3.84</v>
      </c>
      <c r="N83" s="3">
        <v>4.79</v>
      </c>
      <c r="O83" s="3">
        <v>9.41</v>
      </c>
      <c r="P83" s="3">
        <v>19.39</v>
      </c>
      <c r="Q83" s="3">
        <v>8</v>
      </c>
      <c r="R83" s="3">
        <v>77</v>
      </c>
      <c r="S83" s="3">
        <v>76</v>
      </c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3.5" customHeight="1" x14ac:dyDescent="0.2">
      <c r="A84" s="3"/>
      <c r="B84" s="3"/>
      <c r="C84" s="3"/>
      <c r="D84" s="1" t="s">
        <v>144</v>
      </c>
      <c r="E84" s="3"/>
      <c r="F84" s="1" t="s">
        <v>230</v>
      </c>
      <c r="G84" s="1" t="s">
        <v>231</v>
      </c>
      <c r="H84" s="1" t="s">
        <v>115</v>
      </c>
      <c r="I84" s="1" t="s">
        <v>25</v>
      </c>
      <c r="J84" s="1" t="s">
        <v>26</v>
      </c>
      <c r="K84" s="3">
        <v>18.329999999999998</v>
      </c>
      <c r="L84" s="3">
        <v>9.69</v>
      </c>
      <c r="M84" s="3">
        <v>4.38</v>
      </c>
      <c r="N84" s="3">
        <v>5.18</v>
      </c>
      <c r="O84" s="3">
        <v>10.42</v>
      </c>
      <c r="P84" s="3">
        <v>19.440000000000001</v>
      </c>
      <c r="Q84" s="3">
        <v>8</v>
      </c>
      <c r="R84" s="3">
        <v>84</v>
      </c>
      <c r="S84" s="3">
        <v>79</v>
      </c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3.5" customHeight="1" x14ac:dyDescent="0.2">
      <c r="A85" s="3"/>
      <c r="B85" s="3"/>
      <c r="C85" s="3"/>
      <c r="D85" s="1" t="s">
        <v>144</v>
      </c>
      <c r="E85" s="3"/>
      <c r="F85" s="1" t="s">
        <v>232</v>
      </c>
      <c r="G85" s="1" t="s">
        <v>233</v>
      </c>
      <c r="H85" s="1" t="s">
        <v>181</v>
      </c>
      <c r="I85" s="1" t="s">
        <v>25</v>
      </c>
      <c r="J85" s="1" t="s">
        <v>26</v>
      </c>
      <c r="K85" s="3">
        <v>16.600000000000001</v>
      </c>
      <c r="L85" s="3">
        <v>9.3800000000000008</v>
      </c>
      <c r="M85" s="3">
        <v>3.74</v>
      </c>
      <c r="N85" s="3">
        <v>4.74</v>
      </c>
      <c r="O85" s="3">
        <v>8.8699999999999992</v>
      </c>
      <c r="P85" s="3">
        <v>20.64</v>
      </c>
      <c r="Q85" s="3">
        <v>9</v>
      </c>
      <c r="R85" s="3">
        <v>81</v>
      </c>
      <c r="S85" s="3">
        <v>78</v>
      </c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3.5" customHeight="1" x14ac:dyDescent="0.2">
      <c r="A86" s="3"/>
      <c r="B86" s="3"/>
      <c r="C86" s="3"/>
      <c r="D86" s="1" t="s">
        <v>144</v>
      </c>
      <c r="E86" s="3"/>
      <c r="F86" s="1" t="s">
        <v>234</v>
      </c>
      <c r="G86" s="1" t="s">
        <v>82</v>
      </c>
      <c r="H86" s="1" t="s">
        <v>181</v>
      </c>
      <c r="I86" s="1" t="s">
        <v>25</v>
      </c>
      <c r="J86" s="1" t="s">
        <v>30</v>
      </c>
      <c r="K86" s="3">
        <v>16.77</v>
      </c>
      <c r="L86" s="3">
        <v>9.3800000000000008</v>
      </c>
      <c r="M86" s="3">
        <v>4.3899999999999997</v>
      </c>
      <c r="N86" s="3">
        <v>4.6500000000000004</v>
      </c>
      <c r="O86" s="3">
        <v>9.39</v>
      </c>
      <c r="P86" s="3">
        <v>19.98</v>
      </c>
      <c r="Q86" s="3">
        <v>8</v>
      </c>
      <c r="R86" s="3">
        <v>76</v>
      </c>
      <c r="S86" s="3">
        <v>72</v>
      </c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3.5" customHeight="1" x14ac:dyDescent="0.2">
      <c r="A87" s="3"/>
      <c r="B87" s="3"/>
      <c r="C87" s="3"/>
      <c r="D87" s="1" t="s">
        <v>144</v>
      </c>
      <c r="E87" s="3"/>
      <c r="F87" s="1" t="s">
        <v>235</v>
      </c>
      <c r="G87" s="1" t="s">
        <v>50</v>
      </c>
      <c r="H87" s="1" t="s">
        <v>51</v>
      </c>
      <c r="I87" s="1" t="s">
        <v>25</v>
      </c>
      <c r="J87" s="1" t="s">
        <v>26</v>
      </c>
      <c r="K87" s="3">
        <v>17.45</v>
      </c>
      <c r="L87" s="3">
        <v>9.18</v>
      </c>
      <c r="M87" s="3">
        <v>4.3600000000000003</v>
      </c>
      <c r="N87" s="3">
        <v>5.04</v>
      </c>
      <c r="O87" s="3">
        <v>9.4499999999999993</v>
      </c>
      <c r="P87" s="3">
        <v>21.18</v>
      </c>
      <c r="Q87" s="3">
        <v>10</v>
      </c>
      <c r="R87" s="3">
        <v>82</v>
      </c>
      <c r="S87" s="3">
        <v>87</v>
      </c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3.5" customHeight="1" x14ac:dyDescent="0.2">
      <c r="A88" s="3"/>
      <c r="B88" s="3"/>
      <c r="C88" s="3"/>
      <c r="D88" s="1" t="s">
        <v>144</v>
      </c>
      <c r="E88" s="3"/>
      <c r="F88" s="1" t="s">
        <v>236</v>
      </c>
      <c r="G88" s="1" t="s">
        <v>237</v>
      </c>
      <c r="H88" s="1" t="s">
        <v>176</v>
      </c>
      <c r="I88" s="1" t="s">
        <v>25</v>
      </c>
      <c r="J88" s="1" t="s">
        <v>26</v>
      </c>
      <c r="K88" s="3">
        <v>17.8</v>
      </c>
      <c r="L88" s="3">
        <v>9.42</v>
      </c>
      <c r="M88" s="3">
        <v>4.34</v>
      </c>
      <c r="N88" s="3">
        <v>5.14</v>
      </c>
      <c r="O88" s="3">
        <v>10.09</v>
      </c>
      <c r="P88" s="3">
        <v>22.11</v>
      </c>
      <c r="Q88" s="3">
        <v>11</v>
      </c>
      <c r="R88" s="3">
        <v>84</v>
      </c>
      <c r="S88" s="3">
        <v>85</v>
      </c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3.5" customHeight="1" x14ac:dyDescent="0.2">
      <c r="A89" s="3"/>
      <c r="B89" s="3"/>
      <c r="C89" s="3"/>
      <c r="D89" s="1" t="s">
        <v>144</v>
      </c>
      <c r="E89" s="3"/>
      <c r="F89" s="1" t="s">
        <v>238</v>
      </c>
      <c r="G89" s="1" t="s">
        <v>239</v>
      </c>
      <c r="H89" s="1" t="s">
        <v>240</v>
      </c>
      <c r="I89" s="1" t="s">
        <v>25</v>
      </c>
      <c r="J89" s="1" t="s">
        <v>26</v>
      </c>
      <c r="K89" s="3">
        <v>18.440000000000001</v>
      </c>
      <c r="L89" s="3">
        <v>9.82</v>
      </c>
      <c r="M89" s="3">
        <v>4.4800000000000004</v>
      </c>
      <c r="N89" s="3">
        <v>4.9800000000000004</v>
      </c>
      <c r="O89" s="3">
        <v>10.14</v>
      </c>
      <c r="P89" s="3">
        <v>21.95</v>
      </c>
      <c r="Q89" s="3">
        <v>14</v>
      </c>
      <c r="R89" s="3">
        <v>86</v>
      </c>
      <c r="S89" s="3">
        <v>89</v>
      </c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3.5" customHeight="1" x14ac:dyDescent="0.2">
      <c r="A90" s="3"/>
      <c r="B90" s="3"/>
      <c r="C90" s="3"/>
      <c r="D90" s="1" t="s">
        <v>144</v>
      </c>
      <c r="E90" s="3"/>
      <c r="F90" s="1" t="s">
        <v>241</v>
      </c>
      <c r="G90" s="1" t="s">
        <v>242</v>
      </c>
      <c r="H90" s="1" t="s">
        <v>243</v>
      </c>
      <c r="I90" s="1" t="s">
        <v>25</v>
      </c>
      <c r="J90" s="1" t="s">
        <v>26</v>
      </c>
      <c r="K90" s="3">
        <v>16.329999999999998</v>
      </c>
      <c r="L90" s="3">
        <v>9.89</v>
      </c>
      <c r="M90" s="3">
        <v>4.5599999999999996</v>
      </c>
      <c r="N90" s="3">
        <v>4.67</v>
      </c>
      <c r="O90" s="3">
        <v>9.52</v>
      </c>
      <c r="P90" s="3">
        <v>19.649999999999999</v>
      </c>
      <c r="Q90" s="3">
        <v>10</v>
      </c>
      <c r="R90" s="3">
        <v>79</v>
      </c>
      <c r="S90" s="3">
        <v>81</v>
      </c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3.5" customHeight="1" x14ac:dyDescent="0.2">
      <c r="A91" s="3"/>
      <c r="B91" s="3"/>
      <c r="C91" s="3"/>
      <c r="D91" s="1" t="s">
        <v>144</v>
      </c>
      <c r="E91" s="3"/>
      <c r="F91" s="1" t="s">
        <v>244</v>
      </c>
      <c r="G91" s="1" t="s">
        <v>50</v>
      </c>
      <c r="H91" s="1" t="s">
        <v>51</v>
      </c>
      <c r="I91" s="1" t="s">
        <v>25</v>
      </c>
      <c r="J91" s="1" t="s">
        <v>30</v>
      </c>
      <c r="K91" s="3">
        <v>17.34</v>
      </c>
      <c r="L91" s="3">
        <v>9.98</v>
      </c>
      <c r="M91" s="3">
        <v>3.87</v>
      </c>
      <c r="N91" s="3">
        <v>4.92</v>
      </c>
      <c r="O91" s="3">
        <v>9.57</v>
      </c>
      <c r="P91" s="3">
        <v>19.82</v>
      </c>
      <c r="Q91" s="3">
        <v>8</v>
      </c>
      <c r="R91" s="3">
        <v>78</v>
      </c>
      <c r="S91" s="3">
        <v>77</v>
      </c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3.5" customHeight="1" x14ac:dyDescent="0.2">
      <c r="A92" s="3"/>
      <c r="B92" s="3"/>
      <c r="C92" s="3"/>
      <c r="D92" s="1" t="s">
        <v>144</v>
      </c>
      <c r="E92" s="3"/>
      <c r="F92" s="1" t="s">
        <v>245</v>
      </c>
      <c r="G92" s="1" t="s">
        <v>71</v>
      </c>
      <c r="H92" s="1" t="s">
        <v>72</v>
      </c>
      <c r="I92" s="1" t="s">
        <v>25</v>
      </c>
      <c r="J92" s="1" t="s">
        <v>26</v>
      </c>
      <c r="K92" s="3">
        <v>16.920000000000002</v>
      </c>
      <c r="L92" s="3">
        <v>9.0399999999999991</v>
      </c>
      <c r="M92" s="3">
        <v>4.47</v>
      </c>
      <c r="N92" s="3">
        <v>4.72</v>
      </c>
      <c r="O92" s="3">
        <v>9.93</v>
      </c>
      <c r="P92" s="3">
        <v>18.57</v>
      </c>
      <c r="Q92" s="3">
        <v>7</v>
      </c>
      <c r="R92" s="3">
        <v>77</v>
      </c>
      <c r="S92" s="3">
        <v>78</v>
      </c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3.5" customHeight="1" x14ac:dyDescent="0.2">
      <c r="A93" s="3"/>
      <c r="B93" s="3"/>
      <c r="C93" s="3"/>
      <c r="D93" s="1" t="s">
        <v>144</v>
      </c>
      <c r="E93" s="3"/>
      <c r="F93" s="1" t="s">
        <v>246</v>
      </c>
      <c r="G93" s="1" t="s">
        <v>247</v>
      </c>
      <c r="H93" s="1" t="s">
        <v>248</v>
      </c>
      <c r="I93" s="1" t="s">
        <v>25</v>
      </c>
      <c r="J93" s="1" t="s">
        <v>30</v>
      </c>
      <c r="K93" s="3">
        <v>17.64</v>
      </c>
      <c r="L93" s="3">
        <v>9.59</v>
      </c>
      <c r="M93" s="3">
        <v>4.6100000000000003</v>
      </c>
      <c r="N93" s="3">
        <v>4.71</v>
      </c>
      <c r="O93" s="3">
        <v>10.16</v>
      </c>
      <c r="P93" s="3">
        <v>21.38</v>
      </c>
      <c r="Q93" s="3">
        <v>10</v>
      </c>
      <c r="R93" s="3">
        <v>81</v>
      </c>
      <c r="S93" s="3">
        <v>83</v>
      </c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3.5" customHeight="1" x14ac:dyDescent="0.2">
      <c r="A94" s="3"/>
      <c r="B94" s="3"/>
      <c r="C94" s="3"/>
      <c r="D94" s="1" t="s">
        <v>144</v>
      </c>
      <c r="E94" s="3"/>
      <c r="F94" s="1" t="s">
        <v>249</v>
      </c>
      <c r="G94" s="1" t="s">
        <v>250</v>
      </c>
      <c r="H94" s="1" t="s">
        <v>251</v>
      </c>
      <c r="I94" s="1" t="s">
        <v>25</v>
      </c>
      <c r="J94" s="3"/>
      <c r="K94" s="3">
        <v>18.46</v>
      </c>
      <c r="L94" s="3">
        <v>9.61</v>
      </c>
      <c r="M94" s="3">
        <v>4.88</v>
      </c>
      <c r="N94" s="3">
        <v>5.49</v>
      </c>
      <c r="O94" s="3">
        <v>10.02</v>
      </c>
      <c r="P94" s="3">
        <v>22.15</v>
      </c>
      <c r="Q94" s="3">
        <v>10</v>
      </c>
      <c r="R94" s="3">
        <v>88</v>
      </c>
      <c r="S94" s="3">
        <v>90</v>
      </c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3.5" customHeight="1" x14ac:dyDescent="0.2">
      <c r="A95" s="3"/>
      <c r="B95" s="3"/>
      <c r="C95" s="3"/>
      <c r="D95" s="1" t="s">
        <v>144</v>
      </c>
      <c r="E95" s="3"/>
      <c r="F95" s="1" t="s">
        <v>252</v>
      </c>
      <c r="G95" s="1" t="s">
        <v>253</v>
      </c>
      <c r="H95" s="1" t="s">
        <v>254</v>
      </c>
      <c r="I95" s="1" t="s">
        <v>25</v>
      </c>
      <c r="J95" s="1" t="s">
        <v>30</v>
      </c>
      <c r="K95" s="3">
        <v>17.850000000000001</v>
      </c>
      <c r="L95" s="3">
        <v>9.09</v>
      </c>
      <c r="M95" s="3">
        <v>4.17</v>
      </c>
      <c r="N95" s="3">
        <v>4.53</v>
      </c>
      <c r="O95" s="3">
        <v>9.16</v>
      </c>
      <c r="P95" s="3">
        <v>19.75</v>
      </c>
      <c r="Q95" s="3">
        <v>10</v>
      </c>
      <c r="R95" s="3">
        <v>82</v>
      </c>
      <c r="S95" s="3">
        <v>87</v>
      </c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3.5" customHeight="1" x14ac:dyDescent="0.2">
      <c r="A96" s="3"/>
      <c r="B96" s="3"/>
      <c r="C96" s="3"/>
      <c r="D96" s="1" t="s">
        <v>144</v>
      </c>
      <c r="E96" s="3"/>
      <c r="F96" s="1" t="s">
        <v>255</v>
      </c>
      <c r="G96" s="1" t="s">
        <v>256</v>
      </c>
      <c r="H96" s="1" t="s">
        <v>204</v>
      </c>
      <c r="I96" s="1" t="s">
        <v>25</v>
      </c>
      <c r="J96" s="1" t="s">
        <v>26</v>
      </c>
      <c r="K96" s="3">
        <v>17.25</v>
      </c>
      <c r="L96" s="3">
        <v>8.94</v>
      </c>
      <c r="M96" s="3">
        <v>4.16</v>
      </c>
      <c r="N96" s="3">
        <v>4.57</v>
      </c>
      <c r="O96" s="3">
        <v>9.19</v>
      </c>
      <c r="P96" s="3">
        <v>20.73</v>
      </c>
      <c r="Q96" s="3">
        <v>9</v>
      </c>
      <c r="R96" s="3">
        <v>79</v>
      </c>
      <c r="S96" s="3">
        <v>79</v>
      </c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3.5" customHeight="1" x14ac:dyDescent="0.2">
      <c r="A97" s="3"/>
      <c r="B97" s="3"/>
      <c r="C97" s="3"/>
      <c r="D97" s="1" t="s">
        <v>144</v>
      </c>
      <c r="E97" s="3"/>
      <c r="F97" s="1" t="s">
        <v>257</v>
      </c>
      <c r="G97" s="1" t="s">
        <v>258</v>
      </c>
      <c r="H97" s="1" t="s">
        <v>103</v>
      </c>
      <c r="I97" s="1" t="s">
        <v>25</v>
      </c>
      <c r="J97" s="1" t="s">
        <v>26</v>
      </c>
      <c r="K97" s="3">
        <v>18.21</v>
      </c>
      <c r="L97" s="3">
        <v>10.14</v>
      </c>
      <c r="M97" s="3">
        <v>3.7</v>
      </c>
      <c r="N97" s="3">
        <v>4.92</v>
      </c>
      <c r="O97" s="3">
        <v>9.92</v>
      </c>
      <c r="P97" s="3">
        <v>19.91</v>
      </c>
      <c r="Q97" s="3">
        <v>12</v>
      </c>
      <c r="R97" s="3">
        <v>87</v>
      </c>
      <c r="S97" s="3">
        <v>91</v>
      </c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3.5" customHeight="1" x14ac:dyDescent="0.2">
      <c r="A98" s="3"/>
      <c r="B98" s="3"/>
      <c r="C98" s="3"/>
      <c r="D98" s="1" t="s">
        <v>144</v>
      </c>
      <c r="E98" s="3"/>
      <c r="F98" s="1" t="s">
        <v>259</v>
      </c>
      <c r="G98" s="1" t="s">
        <v>66</v>
      </c>
      <c r="H98" s="1" t="s">
        <v>39</v>
      </c>
      <c r="I98" s="1" t="s">
        <v>25</v>
      </c>
      <c r="J98" s="1" t="s">
        <v>30</v>
      </c>
      <c r="K98" s="3">
        <v>17.32</v>
      </c>
      <c r="L98" s="3">
        <v>9.01</v>
      </c>
      <c r="M98" s="3">
        <v>4.38</v>
      </c>
      <c r="N98" s="3">
        <f>2.88+1.89</f>
        <v>4.7699999999999996</v>
      </c>
      <c r="O98" s="3">
        <v>10.029999999999999</v>
      </c>
      <c r="P98" s="3">
        <v>21.91</v>
      </c>
      <c r="Q98" s="3">
        <v>12</v>
      </c>
      <c r="R98" s="3">
        <v>85</v>
      </c>
      <c r="S98" s="3">
        <v>86</v>
      </c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3.5" customHeight="1" x14ac:dyDescent="0.2">
      <c r="A99" s="3"/>
      <c r="B99" s="3"/>
      <c r="C99" s="3"/>
      <c r="D99" s="1" t="s">
        <v>144</v>
      </c>
      <c r="E99" s="3"/>
      <c r="F99" s="1" t="s">
        <v>260</v>
      </c>
      <c r="G99" s="1" t="s">
        <v>226</v>
      </c>
      <c r="H99" s="1" t="s">
        <v>204</v>
      </c>
      <c r="I99" s="1" t="s">
        <v>25</v>
      </c>
      <c r="J99" s="1" t="s">
        <v>30</v>
      </c>
      <c r="K99" s="3">
        <v>17.190000000000001</v>
      </c>
      <c r="L99" s="3">
        <v>8.6199999999999992</v>
      </c>
      <c r="M99" s="3">
        <v>4.18</v>
      </c>
      <c r="N99" s="3">
        <v>4.5</v>
      </c>
      <c r="O99" s="3">
        <v>8.3699999999999992</v>
      </c>
      <c r="P99" s="3">
        <v>19.98</v>
      </c>
      <c r="Q99" s="3">
        <v>9</v>
      </c>
      <c r="R99" s="3">
        <v>75</v>
      </c>
      <c r="S99" s="3">
        <v>74</v>
      </c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3.5" customHeight="1" x14ac:dyDescent="0.2">
      <c r="A100" s="3"/>
      <c r="B100" s="3"/>
      <c r="C100" s="3"/>
      <c r="D100" s="1" t="s">
        <v>144</v>
      </c>
      <c r="E100" s="3"/>
      <c r="F100" s="1" t="s">
        <v>261</v>
      </c>
      <c r="G100" s="1" t="s">
        <v>262</v>
      </c>
      <c r="H100" s="1" t="s">
        <v>103</v>
      </c>
      <c r="I100" s="1" t="s">
        <v>25</v>
      </c>
      <c r="J100" s="1" t="s">
        <v>26</v>
      </c>
      <c r="K100" s="3">
        <v>17.82</v>
      </c>
      <c r="L100" s="3">
        <v>9.36</v>
      </c>
      <c r="M100" s="3">
        <v>3.9</v>
      </c>
      <c r="N100" s="3">
        <v>4.6900000000000004</v>
      </c>
      <c r="O100" s="3">
        <v>9.42</v>
      </c>
      <c r="P100" s="3">
        <v>20.13</v>
      </c>
      <c r="Q100" s="3">
        <v>11</v>
      </c>
      <c r="R100" s="3">
        <v>88</v>
      </c>
      <c r="S100" s="3">
        <v>90</v>
      </c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3.5" customHeight="1" x14ac:dyDescent="0.2">
      <c r="A101" s="3"/>
      <c r="B101" s="3"/>
      <c r="C101" s="3"/>
      <c r="D101" s="1" t="s">
        <v>144</v>
      </c>
      <c r="E101" s="3"/>
      <c r="F101" s="1" t="s">
        <v>263</v>
      </c>
      <c r="G101" s="1" t="s">
        <v>264</v>
      </c>
      <c r="H101" s="1" t="s">
        <v>265</v>
      </c>
      <c r="I101" s="1" t="s">
        <v>25</v>
      </c>
      <c r="J101" s="1" t="s">
        <v>30</v>
      </c>
      <c r="K101" s="3">
        <v>17.57</v>
      </c>
      <c r="L101" s="3">
        <v>9.1999999999999993</v>
      </c>
      <c r="M101" s="3">
        <v>4.22</v>
      </c>
      <c r="N101" s="3">
        <v>5.55</v>
      </c>
      <c r="O101" s="3">
        <v>10.06</v>
      </c>
      <c r="P101" s="3">
        <v>22.06</v>
      </c>
      <c r="Q101" s="3">
        <v>11</v>
      </c>
      <c r="R101" s="3">
        <v>82</v>
      </c>
      <c r="S101" s="3">
        <v>85</v>
      </c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3.5" customHeight="1" x14ac:dyDescent="0.2">
      <c r="A102" s="3"/>
      <c r="B102" s="3"/>
      <c r="C102" s="3"/>
      <c r="D102" s="1" t="s">
        <v>144</v>
      </c>
      <c r="E102" s="3"/>
      <c r="F102" s="1" t="s">
        <v>266</v>
      </c>
      <c r="G102" s="1" t="s">
        <v>267</v>
      </c>
      <c r="H102" s="1" t="s">
        <v>268</v>
      </c>
      <c r="I102" s="1" t="s">
        <v>25</v>
      </c>
      <c r="J102" s="1" t="s">
        <v>26</v>
      </c>
      <c r="K102" s="3">
        <v>17.96</v>
      </c>
      <c r="L102" s="3">
        <v>9.41</v>
      </c>
      <c r="M102" s="3">
        <v>4.21</v>
      </c>
      <c r="N102" s="3">
        <f>3.22+2.39</f>
        <v>5.61</v>
      </c>
      <c r="O102" s="3">
        <v>9.7799999999999994</v>
      </c>
      <c r="P102" s="3">
        <v>22.49</v>
      </c>
      <c r="Q102" s="3">
        <v>11</v>
      </c>
      <c r="R102" s="3">
        <v>86</v>
      </c>
      <c r="S102" s="3">
        <v>87</v>
      </c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3.5" customHeight="1" x14ac:dyDescent="0.2">
      <c r="A103" s="3"/>
      <c r="B103" s="3"/>
      <c r="C103" s="3"/>
      <c r="D103" s="1" t="s">
        <v>144</v>
      </c>
      <c r="E103" s="3"/>
      <c r="F103" s="1" t="s">
        <v>269</v>
      </c>
      <c r="G103" s="1" t="s">
        <v>270</v>
      </c>
      <c r="H103" s="1" t="s">
        <v>271</v>
      </c>
      <c r="I103" s="1" t="s">
        <v>25</v>
      </c>
      <c r="J103" s="1" t="s">
        <v>26</v>
      </c>
      <c r="K103" s="3">
        <v>16.93</v>
      </c>
      <c r="L103" s="3">
        <v>8.42</v>
      </c>
      <c r="M103" s="3">
        <v>4.08</v>
      </c>
      <c r="N103" s="3">
        <v>4.74</v>
      </c>
      <c r="O103" s="3">
        <v>9.27</v>
      </c>
      <c r="P103" s="3">
        <v>22.8</v>
      </c>
      <c r="Q103" s="3">
        <v>12</v>
      </c>
      <c r="R103" s="3">
        <v>86</v>
      </c>
      <c r="S103" s="3">
        <v>88</v>
      </c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3.5" customHeight="1" x14ac:dyDescent="0.2">
      <c r="A104" s="3"/>
      <c r="B104" s="3"/>
      <c r="C104" s="3"/>
      <c r="D104" s="1" t="s">
        <v>144</v>
      </c>
      <c r="E104" s="3"/>
      <c r="F104" s="1" t="s">
        <v>272</v>
      </c>
      <c r="G104" s="1" t="s">
        <v>117</v>
      </c>
      <c r="H104" s="1" t="s">
        <v>118</v>
      </c>
      <c r="I104" s="1" t="s">
        <v>25</v>
      </c>
      <c r="J104" s="1" t="s">
        <v>26</v>
      </c>
      <c r="K104" s="3">
        <v>17.72</v>
      </c>
      <c r="L104" s="3">
        <v>9.2100000000000009</v>
      </c>
      <c r="M104" s="3">
        <v>4.54</v>
      </c>
      <c r="N104" s="3">
        <f>3.34+2.11</f>
        <v>5.4499999999999993</v>
      </c>
      <c r="O104" s="3">
        <v>10.82</v>
      </c>
      <c r="P104" s="3">
        <v>22.98</v>
      </c>
      <c r="Q104" s="3">
        <v>12</v>
      </c>
      <c r="R104" s="3">
        <v>85</v>
      </c>
      <c r="S104" s="3">
        <v>82</v>
      </c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3.5" customHeight="1" x14ac:dyDescent="0.2">
      <c r="A105" s="3"/>
      <c r="B105" s="3"/>
      <c r="C105" s="3"/>
      <c r="D105" s="1" t="s">
        <v>144</v>
      </c>
      <c r="E105" s="3"/>
      <c r="F105" s="1" t="s">
        <v>273</v>
      </c>
      <c r="G105" s="1" t="s">
        <v>38</v>
      </c>
      <c r="H105" s="1" t="s">
        <v>39</v>
      </c>
      <c r="I105" s="1" t="s">
        <v>25</v>
      </c>
      <c r="J105" s="1" t="s">
        <v>26</v>
      </c>
      <c r="K105" s="3">
        <v>17.399999999999999</v>
      </c>
      <c r="L105" s="3">
        <v>10.07</v>
      </c>
      <c r="M105" s="3">
        <v>4.88</v>
      </c>
      <c r="N105" s="3">
        <v>4.95</v>
      </c>
      <c r="O105" s="3">
        <v>9.66</v>
      </c>
      <c r="P105" s="3">
        <v>22.81</v>
      </c>
      <c r="Q105" s="3">
        <v>10</v>
      </c>
      <c r="R105" s="3">
        <v>91</v>
      </c>
      <c r="S105" s="3">
        <v>88</v>
      </c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3.5" customHeight="1" x14ac:dyDescent="0.2">
      <c r="A106" s="3"/>
      <c r="B106" s="3"/>
      <c r="C106" s="3"/>
      <c r="D106" s="1" t="s">
        <v>144</v>
      </c>
      <c r="E106" s="3"/>
      <c r="F106" s="1" t="s">
        <v>274</v>
      </c>
      <c r="G106" s="1" t="s">
        <v>275</v>
      </c>
      <c r="H106" s="1" t="s">
        <v>276</v>
      </c>
      <c r="I106" s="1" t="s">
        <v>25</v>
      </c>
      <c r="J106" s="1" t="s">
        <v>26</v>
      </c>
      <c r="K106" s="3">
        <v>17.559999999999999</v>
      </c>
      <c r="L106" s="3">
        <v>9.83</v>
      </c>
      <c r="M106" s="3">
        <v>4.67</v>
      </c>
      <c r="N106" s="3">
        <f>3.65+2.17</f>
        <v>5.82</v>
      </c>
      <c r="O106" s="3">
        <v>9.4</v>
      </c>
      <c r="P106" s="3">
        <v>21.53</v>
      </c>
      <c r="Q106" s="3">
        <v>11</v>
      </c>
      <c r="R106" s="3">
        <v>83</v>
      </c>
      <c r="S106" s="3">
        <v>83</v>
      </c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3.5" customHeight="1" x14ac:dyDescent="0.2">
      <c r="A107" s="3"/>
      <c r="B107" s="3"/>
      <c r="C107" s="3"/>
      <c r="D107" s="1" t="s">
        <v>144</v>
      </c>
      <c r="E107" s="3"/>
      <c r="F107" s="1" t="s">
        <v>277</v>
      </c>
      <c r="G107" s="1" t="s">
        <v>278</v>
      </c>
      <c r="H107" s="1" t="s">
        <v>279</v>
      </c>
      <c r="I107" s="1" t="s">
        <v>25</v>
      </c>
      <c r="J107" s="1" t="s">
        <v>26</v>
      </c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3.5" customHeight="1" x14ac:dyDescent="0.2">
      <c r="A108" s="3"/>
      <c r="B108" s="3"/>
      <c r="C108" s="3"/>
      <c r="D108" s="1" t="s">
        <v>144</v>
      </c>
      <c r="E108" s="3"/>
      <c r="F108" s="1" t="s">
        <v>280</v>
      </c>
      <c r="G108" s="1" t="s">
        <v>281</v>
      </c>
      <c r="H108" s="1" t="s">
        <v>195</v>
      </c>
      <c r="I108" s="1" t="s">
        <v>25</v>
      </c>
      <c r="J108" s="1" t="s">
        <v>30</v>
      </c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3.5" customHeight="1" x14ac:dyDescent="0.2">
      <c r="A109" s="3"/>
      <c r="B109" s="3"/>
      <c r="C109" s="3"/>
      <c r="D109" s="1" t="s">
        <v>144</v>
      </c>
      <c r="E109" s="3"/>
      <c r="F109" s="1" t="s">
        <v>282</v>
      </c>
      <c r="G109" s="1" t="s">
        <v>283</v>
      </c>
      <c r="H109" s="1" t="s">
        <v>284</v>
      </c>
      <c r="I109" s="1" t="s">
        <v>25</v>
      </c>
      <c r="J109" s="1" t="s">
        <v>26</v>
      </c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3.5" customHeight="1" x14ac:dyDescent="0.2">
      <c r="A110" s="3"/>
      <c r="B110" s="3"/>
      <c r="C110" s="3"/>
      <c r="D110" s="1" t="s">
        <v>144</v>
      </c>
      <c r="E110" s="3"/>
      <c r="F110" s="1" t="s">
        <v>285</v>
      </c>
      <c r="G110" s="1" t="s">
        <v>286</v>
      </c>
      <c r="H110" s="1" t="s">
        <v>173</v>
      </c>
      <c r="I110" s="1" t="s">
        <v>25</v>
      </c>
      <c r="J110" s="1" t="s">
        <v>30</v>
      </c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3.5" customHeight="1" x14ac:dyDescent="0.2">
      <c r="A111" s="3"/>
      <c r="B111" s="3"/>
      <c r="C111" s="3"/>
      <c r="D111" s="1" t="s">
        <v>144</v>
      </c>
      <c r="E111" s="3"/>
      <c r="F111" s="1" t="s">
        <v>287</v>
      </c>
      <c r="G111" s="1" t="s">
        <v>191</v>
      </c>
      <c r="H111" s="1" t="s">
        <v>192</v>
      </c>
      <c r="I111" s="1" t="s">
        <v>25</v>
      </c>
      <c r="J111" s="1" t="s">
        <v>30</v>
      </c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3.5" customHeight="1" x14ac:dyDescent="0.2">
      <c r="A112" s="3"/>
      <c r="B112" s="3"/>
      <c r="C112" s="3"/>
      <c r="D112" s="1" t="s">
        <v>144</v>
      </c>
      <c r="E112" s="3"/>
      <c r="F112" s="1" t="s">
        <v>288</v>
      </c>
      <c r="G112" s="1" t="s">
        <v>289</v>
      </c>
      <c r="H112" s="1" t="s">
        <v>290</v>
      </c>
      <c r="I112" s="1" t="s">
        <v>25</v>
      </c>
      <c r="J112" s="1" t="s">
        <v>26</v>
      </c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3.5" customHeight="1" x14ac:dyDescent="0.2">
      <c r="A113" s="3"/>
      <c r="B113" s="3"/>
      <c r="C113" s="3"/>
      <c r="D113" s="1" t="s">
        <v>144</v>
      </c>
      <c r="E113" s="3"/>
      <c r="F113" s="1" t="s">
        <v>291</v>
      </c>
      <c r="G113" s="1" t="s">
        <v>117</v>
      </c>
      <c r="H113" s="1" t="s">
        <v>118</v>
      </c>
      <c r="I113" s="1" t="s">
        <v>25</v>
      </c>
      <c r="J113" s="1" t="s">
        <v>26</v>
      </c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3.5" customHeight="1" x14ac:dyDescent="0.2">
      <c r="A114" s="3"/>
      <c r="B114" s="3"/>
      <c r="C114" s="3"/>
      <c r="D114" s="1" t="s">
        <v>144</v>
      </c>
      <c r="E114" s="3"/>
      <c r="F114" s="1" t="s">
        <v>292</v>
      </c>
      <c r="G114" s="1" t="s">
        <v>293</v>
      </c>
      <c r="H114" s="1" t="s">
        <v>103</v>
      </c>
      <c r="I114" s="1" t="s">
        <v>25</v>
      </c>
      <c r="J114" s="1" t="s">
        <v>26</v>
      </c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3.5" customHeight="1" x14ac:dyDescent="0.2">
      <c r="A115" s="3"/>
      <c r="B115" s="3"/>
      <c r="C115" s="3"/>
      <c r="D115" s="1" t="s">
        <v>144</v>
      </c>
      <c r="E115" s="3"/>
      <c r="F115" s="1" t="s">
        <v>294</v>
      </c>
      <c r="G115" s="1" t="s">
        <v>295</v>
      </c>
      <c r="H115" s="1" t="s">
        <v>296</v>
      </c>
      <c r="I115" s="1" t="s">
        <v>25</v>
      </c>
      <c r="J115" s="1" t="s">
        <v>26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3.5" customHeight="1" x14ac:dyDescent="0.2">
      <c r="A116" s="3"/>
      <c r="B116" s="3"/>
      <c r="C116" s="3"/>
      <c r="D116" s="1" t="s">
        <v>144</v>
      </c>
      <c r="E116" s="3"/>
      <c r="F116" s="1" t="s">
        <v>297</v>
      </c>
      <c r="G116" s="1" t="s">
        <v>298</v>
      </c>
      <c r="H116" s="1" t="s">
        <v>121</v>
      </c>
      <c r="I116" s="1" t="s">
        <v>25</v>
      </c>
      <c r="J116" s="1" t="s">
        <v>30</v>
      </c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3.5" customHeight="1" x14ac:dyDescent="0.2">
      <c r="A117" s="3"/>
      <c r="B117" s="3"/>
      <c r="C117" s="3"/>
      <c r="D117" s="1" t="s">
        <v>144</v>
      </c>
      <c r="E117" s="3"/>
      <c r="F117" s="1" t="s">
        <v>299</v>
      </c>
      <c r="G117" s="1" t="s">
        <v>300</v>
      </c>
      <c r="H117" s="1" t="s">
        <v>290</v>
      </c>
      <c r="I117" s="1" t="s">
        <v>25</v>
      </c>
      <c r="J117" s="1" t="s">
        <v>26</v>
      </c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3.5" customHeight="1" x14ac:dyDescent="0.2">
      <c r="A118" s="3"/>
      <c r="B118" s="3"/>
      <c r="C118" s="3"/>
      <c r="D118" s="1" t="s">
        <v>144</v>
      </c>
      <c r="E118" s="3"/>
      <c r="F118" s="1" t="s">
        <v>301</v>
      </c>
      <c r="G118" s="1" t="s">
        <v>178</v>
      </c>
      <c r="H118" s="1" t="s">
        <v>170</v>
      </c>
      <c r="I118" s="1" t="s">
        <v>25</v>
      </c>
      <c r="J118" s="1" t="s">
        <v>30</v>
      </c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3.5" customHeight="1" x14ac:dyDescent="0.2">
      <c r="A119" s="3"/>
      <c r="B119" s="3"/>
      <c r="C119" s="3"/>
      <c r="D119" s="1" t="s">
        <v>144</v>
      </c>
      <c r="E119" s="3"/>
      <c r="F119" s="1" t="s">
        <v>302</v>
      </c>
      <c r="G119" s="1" t="s">
        <v>303</v>
      </c>
      <c r="H119" s="1" t="s">
        <v>24</v>
      </c>
      <c r="I119" s="1" t="s">
        <v>25</v>
      </c>
      <c r="J119" s="1" t="s">
        <v>26</v>
      </c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3.5" customHeight="1" x14ac:dyDescent="0.2">
      <c r="A120" s="3"/>
      <c r="B120" s="3"/>
      <c r="C120" s="3"/>
      <c r="D120" s="1" t="s">
        <v>144</v>
      </c>
      <c r="E120" s="3"/>
      <c r="F120" s="1" t="s">
        <v>304</v>
      </c>
      <c r="G120" s="1" t="s">
        <v>102</v>
      </c>
      <c r="H120" s="1" t="s">
        <v>103</v>
      </c>
      <c r="I120" s="1" t="s">
        <v>25</v>
      </c>
      <c r="J120" s="1" t="s">
        <v>30</v>
      </c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3.5" customHeight="1" x14ac:dyDescent="0.2">
      <c r="A121" s="3"/>
      <c r="B121" s="3"/>
      <c r="C121" s="3"/>
      <c r="D121" s="1" t="s">
        <v>144</v>
      </c>
      <c r="E121" s="3"/>
      <c r="F121" s="1" t="s">
        <v>305</v>
      </c>
      <c r="G121" s="1" t="s">
        <v>306</v>
      </c>
      <c r="H121" s="1" t="s">
        <v>121</v>
      </c>
      <c r="I121" s="1" t="s">
        <v>25</v>
      </c>
      <c r="J121" s="1" t="s">
        <v>30</v>
      </c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3.5" customHeight="1" x14ac:dyDescent="0.2">
      <c r="A122" s="3"/>
      <c r="B122" s="3"/>
      <c r="C122" s="3"/>
      <c r="D122" s="1" t="s">
        <v>144</v>
      </c>
      <c r="E122" s="3"/>
      <c r="F122" s="1" t="s">
        <v>307</v>
      </c>
      <c r="G122" s="1" t="s">
        <v>102</v>
      </c>
      <c r="H122" s="1" t="s">
        <v>103</v>
      </c>
      <c r="I122" s="1" t="s">
        <v>25</v>
      </c>
      <c r="J122" s="1" t="s">
        <v>26</v>
      </c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3.5" customHeight="1" x14ac:dyDescent="0.2">
      <c r="A123" s="3"/>
      <c r="B123" s="3"/>
      <c r="C123" s="3"/>
      <c r="D123" s="1" t="s">
        <v>144</v>
      </c>
      <c r="E123" s="3"/>
      <c r="F123" s="4" t="s">
        <v>308</v>
      </c>
      <c r="G123" s="1" t="s">
        <v>309</v>
      </c>
      <c r="H123" s="1" t="s">
        <v>310</v>
      </c>
      <c r="I123" s="1" t="s">
        <v>25</v>
      </c>
      <c r="J123" s="1" t="s">
        <v>26</v>
      </c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3.5" customHeight="1" x14ac:dyDescent="0.2">
      <c r="A124" s="3"/>
      <c r="B124" s="3"/>
      <c r="C124" s="3"/>
      <c r="D124" s="1" t="s">
        <v>144</v>
      </c>
      <c r="E124" s="3"/>
      <c r="F124" s="1" t="s">
        <v>311</v>
      </c>
      <c r="G124" s="1" t="s">
        <v>278</v>
      </c>
      <c r="H124" s="1" t="s">
        <v>279</v>
      </c>
      <c r="I124" s="1" t="s">
        <v>25</v>
      </c>
      <c r="J124" s="1" t="s">
        <v>26</v>
      </c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3.5" customHeight="1" x14ac:dyDescent="0.2">
      <c r="A125" s="3"/>
      <c r="B125" s="3"/>
      <c r="C125" s="3"/>
      <c r="D125" s="1" t="s">
        <v>144</v>
      </c>
      <c r="E125" s="3"/>
      <c r="F125" s="1" t="s">
        <v>312</v>
      </c>
      <c r="G125" s="1" t="s">
        <v>313</v>
      </c>
      <c r="H125" s="1" t="s">
        <v>195</v>
      </c>
      <c r="I125" s="1" t="s">
        <v>25</v>
      </c>
      <c r="J125" s="1" t="s">
        <v>26</v>
      </c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3.5" customHeight="1" x14ac:dyDescent="0.2">
      <c r="A126" s="3"/>
      <c r="B126" s="3"/>
      <c r="C126" s="3"/>
      <c r="D126" s="1" t="s">
        <v>144</v>
      </c>
      <c r="E126" s="3"/>
      <c r="F126" s="1" t="s">
        <v>314</v>
      </c>
      <c r="G126" s="1" t="s">
        <v>315</v>
      </c>
      <c r="H126" s="1" t="s">
        <v>152</v>
      </c>
      <c r="I126" s="1" t="s">
        <v>25</v>
      </c>
      <c r="J126" s="1" t="s">
        <v>30</v>
      </c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3.5" customHeight="1" x14ac:dyDescent="0.2">
      <c r="A127" s="3"/>
      <c r="B127" s="3"/>
      <c r="C127" s="3"/>
      <c r="D127" s="1" t="s">
        <v>144</v>
      </c>
      <c r="E127" s="3"/>
      <c r="F127" s="1" t="s">
        <v>316</v>
      </c>
      <c r="G127" s="1" t="s">
        <v>317</v>
      </c>
      <c r="H127" s="1" t="s">
        <v>318</v>
      </c>
      <c r="I127" s="1" t="s">
        <v>25</v>
      </c>
      <c r="J127" s="1" t="s">
        <v>26</v>
      </c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3.5" customHeight="1" x14ac:dyDescent="0.2">
      <c r="A128" s="3"/>
      <c r="B128" s="3"/>
      <c r="C128" s="3"/>
      <c r="D128" s="1" t="s">
        <v>144</v>
      </c>
      <c r="E128" s="3"/>
      <c r="F128" s="1" t="s">
        <v>319</v>
      </c>
      <c r="G128" s="1" t="s">
        <v>320</v>
      </c>
      <c r="H128" s="1" t="s">
        <v>321</v>
      </c>
      <c r="I128" s="1" t="s">
        <v>25</v>
      </c>
      <c r="J128" s="1" t="s">
        <v>30</v>
      </c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3.5" customHeight="1" x14ac:dyDescent="0.2">
      <c r="A129" s="3"/>
      <c r="B129" s="3"/>
      <c r="C129" s="3"/>
      <c r="D129" s="1" t="s">
        <v>144</v>
      </c>
      <c r="E129" s="3"/>
      <c r="F129" s="1" t="s">
        <v>322</v>
      </c>
      <c r="G129" s="1" t="s">
        <v>178</v>
      </c>
      <c r="H129" s="1" t="s">
        <v>170</v>
      </c>
      <c r="I129" s="1" t="s">
        <v>25</v>
      </c>
      <c r="J129" s="1" t="s">
        <v>26</v>
      </c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3.5" customHeight="1" x14ac:dyDescent="0.2">
      <c r="A130" s="3"/>
      <c r="B130" s="3"/>
      <c r="C130" s="3"/>
      <c r="D130" s="1" t="s">
        <v>144</v>
      </c>
      <c r="E130" s="3"/>
      <c r="F130" s="4" t="s">
        <v>323</v>
      </c>
      <c r="G130" s="1" t="s">
        <v>117</v>
      </c>
      <c r="H130" s="1" t="s">
        <v>118</v>
      </c>
      <c r="I130" s="1" t="s">
        <v>25</v>
      </c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3.5" customHeight="1" x14ac:dyDescent="0.2">
      <c r="A131" s="3"/>
      <c r="B131" s="3"/>
      <c r="C131" s="3"/>
      <c r="D131" s="1" t="s">
        <v>144</v>
      </c>
      <c r="E131" s="3"/>
      <c r="F131" s="4" t="s">
        <v>323</v>
      </c>
      <c r="G131" s="1" t="s">
        <v>324</v>
      </c>
      <c r="H131" s="1" t="s">
        <v>325</v>
      </c>
      <c r="I131" s="1" t="s">
        <v>25</v>
      </c>
      <c r="J131" s="1" t="s">
        <v>30</v>
      </c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3.5" customHeight="1" x14ac:dyDescent="0.2">
      <c r="A132" s="3"/>
      <c r="B132" s="3"/>
      <c r="C132" s="3"/>
      <c r="D132" s="1" t="s">
        <v>144</v>
      </c>
      <c r="E132" s="3"/>
      <c r="F132" s="1" t="s">
        <v>326</v>
      </c>
      <c r="G132" s="1" t="s">
        <v>327</v>
      </c>
      <c r="H132" s="1" t="s">
        <v>328</v>
      </c>
      <c r="I132" s="1" t="s">
        <v>25</v>
      </c>
      <c r="J132" s="1" t="s">
        <v>30</v>
      </c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3.5" customHeight="1" x14ac:dyDescent="0.2">
      <c r="A133" s="3"/>
      <c r="B133" s="3"/>
      <c r="C133" s="3"/>
      <c r="D133" s="1" t="s">
        <v>144</v>
      </c>
      <c r="E133" s="3"/>
      <c r="F133" s="1" t="s">
        <v>329</v>
      </c>
      <c r="G133" s="1" t="s">
        <v>313</v>
      </c>
      <c r="H133" s="1" t="s">
        <v>195</v>
      </c>
      <c r="I133" s="1" t="s">
        <v>25</v>
      </c>
      <c r="J133" s="1" t="s">
        <v>30</v>
      </c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3.5" customHeight="1" x14ac:dyDescent="0.2">
      <c r="A134" s="3"/>
      <c r="B134" s="3"/>
      <c r="C134" s="3"/>
      <c r="D134" s="1" t="s">
        <v>144</v>
      </c>
      <c r="E134" s="3"/>
      <c r="F134" s="1" t="s">
        <v>330</v>
      </c>
      <c r="G134" s="1" t="s">
        <v>331</v>
      </c>
      <c r="H134" s="1" t="s">
        <v>103</v>
      </c>
      <c r="I134" s="1" t="s">
        <v>25</v>
      </c>
      <c r="J134" s="1" t="s">
        <v>26</v>
      </c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3.5" customHeight="1" x14ac:dyDescent="0.2">
      <c r="A135" s="3"/>
      <c r="B135" s="3"/>
      <c r="C135" s="3"/>
      <c r="D135" s="1" t="s">
        <v>144</v>
      </c>
      <c r="E135" s="3"/>
      <c r="F135" s="1" t="s">
        <v>332</v>
      </c>
      <c r="G135" s="1" t="s">
        <v>333</v>
      </c>
      <c r="H135" s="1" t="s">
        <v>334</v>
      </c>
      <c r="I135" s="1" t="s">
        <v>25</v>
      </c>
      <c r="J135" s="1" t="s">
        <v>26</v>
      </c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3.5" customHeight="1" x14ac:dyDescent="0.2">
      <c r="A136" s="3"/>
      <c r="B136" s="3"/>
      <c r="C136" s="3"/>
      <c r="D136" s="1" t="s">
        <v>144</v>
      </c>
      <c r="E136" s="3"/>
      <c r="F136" s="1" t="s">
        <v>335</v>
      </c>
      <c r="G136" s="1" t="s">
        <v>336</v>
      </c>
      <c r="H136" s="1" t="s">
        <v>42</v>
      </c>
      <c r="I136" s="1" t="s">
        <v>25</v>
      </c>
      <c r="J136" s="1" t="s">
        <v>30</v>
      </c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3.5" customHeight="1" x14ac:dyDescent="0.2">
      <c r="A137" s="3"/>
      <c r="B137" s="3"/>
      <c r="C137" s="3"/>
      <c r="D137" s="1" t="s">
        <v>144</v>
      </c>
      <c r="E137" s="3"/>
      <c r="F137" s="1" t="s">
        <v>337</v>
      </c>
      <c r="G137" s="1" t="s">
        <v>338</v>
      </c>
      <c r="H137" s="1" t="s">
        <v>251</v>
      </c>
      <c r="I137" s="1" t="s">
        <v>25</v>
      </c>
      <c r="J137" s="1" t="s">
        <v>26</v>
      </c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3.5" customHeight="1" x14ac:dyDescent="0.2">
      <c r="A138" s="3"/>
      <c r="B138" s="3"/>
      <c r="C138" s="3"/>
      <c r="D138" s="1" t="s">
        <v>144</v>
      </c>
      <c r="E138" s="3"/>
      <c r="F138" s="1" t="s">
        <v>339</v>
      </c>
      <c r="G138" s="1" t="s">
        <v>340</v>
      </c>
      <c r="H138" s="3"/>
      <c r="I138" s="1" t="s">
        <v>25</v>
      </c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3.5" customHeight="1" x14ac:dyDescent="0.2">
      <c r="A139" s="3"/>
      <c r="B139" s="3"/>
      <c r="C139" s="3"/>
      <c r="D139" s="1" t="s">
        <v>144</v>
      </c>
      <c r="E139" s="3"/>
      <c r="F139" s="1" t="s">
        <v>341</v>
      </c>
      <c r="G139" s="1" t="s">
        <v>342</v>
      </c>
      <c r="H139" s="1" t="s">
        <v>343</v>
      </c>
      <c r="I139" s="1" t="s">
        <v>25</v>
      </c>
      <c r="J139" s="1" t="s">
        <v>30</v>
      </c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3.5" customHeight="1" x14ac:dyDescent="0.2">
      <c r="A140" s="3"/>
      <c r="B140" s="3"/>
      <c r="C140" s="3"/>
      <c r="D140" s="1" t="s">
        <v>144</v>
      </c>
      <c r="E140" s="3"/>
      <c r="F140" s="1" t="s">
        <v>344</v>
      </c>
      <c r="G140" s="1" t="s">
        <v>102</v>
      </c>
      <c r="H140" s="1" t="s">
        <v>103</v>
      </c>
      <c r="I140" s="1" t="s">
        <v>25</v>
      </c>
      <c r="J140" s="1" t="s">
        <v>26</v>
      </c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3.5" customHeight="1" x14ac:dyDescent="0.2">
      <c r="A141" s="3"/>
      <c r="B141" s="3"/>
      <c r="C141" s="3"/>
      <c r="D141" s="1" t="s">
        <v>144</v>
      </c>
      <c r="E141" s="3"/>
      <c r="F141" s="1" t="s">
        <v>345</v>
      </c>
      <c r="G141" s="1" t="s">
        <v>346</v>
      </c>
      <c r="H141" s="1" t="s">
        <v>265</v>
      </c>
      <c r="I141" s="1" t="s">
        <v>25</v>
      </c>
      <c r="J141" s="1" t="s">
        <v>30</v>
      </c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3.5" customHeight="1" x14ac:dyDescent="0.2">
      <c r="A142" s="3"/>
      <c r="B142" s="3"/>
      <c r="C142" s="3"/>
      <c r="D142" s="1" t="s">
        <v>144</v>
      </c>
      <c r="E142" s="3"/>
      <c r="F142" s="1" t="s">
        <v>347</v>
      </c>
      <c r="G142" s="1" t="s">
        <v>348</v>
      </c>
      <c r="H142" s="1" t="s">
        <v>222</v>
      </c>
      <c r="I142" s="1" t="s">
        <v>25</v>
      </c>
      <c r="J142" s="1" t="s">
        <v>30</v>
      </c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3.5" customHeight="1" x14ac:dyDescent="0.2">
      <c r="A143" s="3"/>
      <c r="B143" s="3"/>
      <c r="C143" s="3"/>
      <c r="D143" s="1" t="s">
        <v>144</v>
      </c>
      <c r="E143" s="3"/>
      <c r="F143" s="1" t="s">
        <v>349</v>
      </c>
      <c r="G143" s="1" t="s">
        <v>327</v>
      </c>
      <c r="H143" s="1" t="s">
        <v>328</v>
      </c>
      <c r="I143" s="1" t="s">
        <v>25</v>
      </c>
      <c r="J143" s="1" t="s">
        <v>26</v>
      </c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3.5" customHeight="1" x14ac:dyDescent="0.2">
      <c r="A144" s="3"/>
      <c r="B144" s="3"/>
      <c r="C144" s="3"/>
      <c r="D144" s="1" t="s">
        <v>144</v>
      </c>
      <c r="E144" s="3"/>
      <c r="F144" s="1" t="s">
        <v>350</v>
      </c>
      <c r="G144" s="1" t="s">
        <v>351</v>
      </c>
      <c r="H144" s="1" t="s">
        <v>352</v>
      </c>
      <c r="I144" s="1" t="s">
        <v>25</v>
      </c>
      <c r="J144" s="1" t="s">
        <v>26</v>
      </c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3.5" customHeight="1" x14ac:dyDescent="0.2">
      <c r="A145" s="3"/>
      <c r="B145" s="3"/>
      <c r="C145" s="3"/>
      <c r="D145" s="1" t="s">
        <v>144</v>
      </c>
      <c r="E145" s="3"/>
      <c r="F145" s="1" t="s">
        <v>353</v>
      </c>
      <c r="G145" s="1" t="s">
        <v>354</v>
      </c>
      <c r="H145" s="1" t="s">
        <v>42</v>
      </c>
      <c r="I145" s="1" t="s">
        <v>25</v>
      </c>
      <c r="J145" s="1" t="s">
        <v>30</v>
      </c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3.5" customHeight="1" x14ac:dyDescent="0.2">
      <c r="A146" s="3"/>
      <c r="B146" s="3"/>
      <c r="C146" s="3"/>
      <c r="D146" s="1" t="s">
        <v>144</v>
      </c>
      <c r="E146" s="3"/>
      <c r="F146" s="1" t="s">
        <v>308</v>
      </c>
      <c r="G146" s="1" t="s">
        <v>355</v>
      </c>
      <c r="H146" s="1" t="s">
        <v>310</v>
      </c>
      <c r="I146" s="1" t="s">
        <v>25</v>
      </c>
      <c r="J146" s="1" t="s">
        <v>30</v>
      </c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3.5" customHeight="1" x14ac:dyDescent="0.2">
      <c r="A147" s="3"/>
      <c r="B147" s="3"/>
      <c r="C147" s="3"/>
      <c r="D147" s="1" t="s">
        <v>144</v>
      </c>
      <c r="E147" s="3"/>
      <c r="F147" s="1" t="s">
        <v>356</v>
      </c>
      <c r="G147" s="1" t="s">
        <v>357</v>
      </c>
      <c r="H147" s="1" t="s">
        <v>358</v>
      </c>
      <c r="I147" s="1" t="s">
        <v>25</v>
      </c>
      <c r="J147" s="1" t="s">
        <v>30</v>
      </c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3.5" customHeight="1" x14ac:dyDescent="0.2">
      <c r="A148" s="3"/>
      <c r="B148" s="3"/>
      <c r="C148" s="3"/>
      <c r="D148" s="1" t="s">
        <v>144</v>
      </c>
      <c r="E148" s="3"/>
      <c r="F148" s="1" t="s">
        <v>359</v>
      </c>
      <c r="G148" s="1" t="s">
        <v>61</v>
      </c>
      <c r="H148" s="1" t="s">
        <v>197</v>
      </c>
      <c r="I148" s="1" t="s">
        <v>25</v>
      </c>
      <c r="J148" s="1" t="s">
        <v>26</v>
      </c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3.5" customHeight="1" x14ac:dyDescent="0.2">
      <c r="A149" s="3"/>
      <c r="B149" s="3"/>
      <c r="C149" s="3"/>
      <c r="D149" s="1" t="s">
        <v>144</v>
      </c>
      <c r="E149" s="3"/>
      <c r="F149" s="1" t="s">
        <v>360</v>
      </c>
      <c r="G149" s="1" t="s">
        <v>361</v>
      </c>
      <c r="H149" s="1" t="s">
        <v>121</v>
      </c>
      <c r="I149" s="1" t="s">
        <v>25</v>
      </c>
      <c r="J149" s="1" t="s">
        <v>26</v>
      </c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3.5" customHeight="1" x14ac:dyDescent="0.2">
      <c r="A150" s="3"/>
      <c r="B150" s="3"/>
      <c r="C150" s="3"/>
      <c r="D150" s="1" t="s">
        <v>144</v>
      </c>
      <c r="E150" s="3"/>
      <c r="F150" s="1" t="s">
        <v>362</v>
      </c>
      <c r="G150" s="1" t="s">
        <v>178</v>
      </c>
      <c r="H150" s="1" t="s">
        <v>170</v>
      </c>
      <c r="I150" s="1" t="s">
        <v>25</v>
      </c>
      <c r="J150" s="1" t="s">
        <v>26</v>
      </c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3.5" customHeight="1" x14ac:dyDescent="0.2">
      <c r="A151" s="3"/>
      <c r="B151" s="3"/>
      <c r="C151" s="3"/>
      <c r="D151" s="1" t="s">
        <v>144</v>
      </c>
      <c r="E151" s="3"/>
      <c r="F151" s="1" t="s">
        <v>363</v>
      </c>
      <c r="G151" s="1" t="s">
        <v>364</v>
      </c>
      <c r="H151" s="1" t="s">
        <v>365</v>
      </c>
      <c r="I151" s="1" t="s">
        <v>25</v>
      </c>
      <c r="J151" s="1" t="s">
        <v>30</v>
      </c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3.5" customHeight="1" x14ac:dyDescent="0.2">
      <c r="A152" s="3"/>
      <c r="B152" s="3"/>
      <c r="C152" s="3"/>
      <c r="D152" s="1" t="s">
        <v>144</v>
      </c>
      <c r="E152" s="3"/>
      <c r="F152" s="1" t="s">
        <v>366</v>
      </c>
      <c r="G152" s="1" t="s">
        <v>117</v>
      </c>
      <c r="H152" s="1" t="s">
        <v>118</v>
      </c>
      <c r="I152" s="1" t="s">
        <v>25</v>
      </c>
      <c r="J152" s="1" t="s">
        <v>26</v>
      </c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3.5" customHeight="1" x14ac:dyDescent="0.2">
      <c r="A153" s="3"/>
      <c r="B153" s="3"/>
      <c r="C153" s="3"/>
      <c r="D153" s="1" t="s">
        <v>144</v>
      </c>
      <c r="E153" s="3"/>
      <c r="F153" s="1" t="s">
        <v>367</v>
      </c>
      <c r="G153" s="3">
        <v>1969</v>
      </c>
      <c r="H153" s="1" t="s">
        <v>368</v>
      </c>
      <c r="I153" s="1" t="s">
        <v>25</v>
      </c>
      <c r="J153" s="1" t="s">
        <v>26</v>
      </c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3.5" customHeight="1" x14ac:dyDescent="0.2">
      <c r="A154" s="3"/>
      <c r="B154" s="3"/>
      <c r="C154" s="3"/>
      <c r="D154" s="1" t="s">
        <v>144</v>
      </c>
      <c r="E154" s="3"/>
      <c r="F154" s="1" t="s">
        <v>369</v>
      </c>
      <c r="G154" s="1" t="s">
        <v>370</v>
      </c>
      <c r="H154" s="1" t="s">
        <v>371</v>
      </c>
      <c r="I154" s="1" t="s">
        <v>25</v>
      </c>
      <c r="J154" s="1" t="s">
        <v>26</v>
      </c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3.5" customHeight="1" x14ac:dyDescent="0.2">
      <c r="A155" s="3"/>
      <c r="B155" s="3"/>
      <c r="C155" s="3"/>
      <c r="D155" s="1" t="s">
        <v>144</v>
      </c>
      <c r="E155" s="3"/>
      <c r="F155" s="1" t="s">
        <v>372</v>
      </c>
      <c r="G155" s="1" t="s">
        <v>373</v>
      </c>
      <c r="H155" s="1" t="s">
        <v>200</v>
      </c>
      <c r="I155" s="1" t="s">
        <v>25</v>
      </c>
      <c r="J155" s="1" t="s">
        <v>26</v>
      </c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3.5" customHeight="1" x14ac:dyDescent="0.2">
      <c r="A156" s="3"/>
      <c r="B156" s="3"/>
      <c r="C156" s="3"/>
      <c r="D156" s="1" t="s">
        <v>144</v>
      </c>
      <c r="E156" s="3"/>
      <c r="F156" s="1" t="s">
        <v>374</v>
      </c>
      <c r="G156" s="1" t="s">
        <v>160</v>
      </c>
      <c r="H156" s="1" t="s">
        <v>161</v>
      </c>
      <c r="I156" s="1" t="s">
        <v>25</v>
      </c>
      <c r="J156" s="1" t="s">
        <v>26</v>
      </c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3.5" customHeight="1" x14ac:dyDescent="0.2">
      <c r="A157" s="3"/>
      <c r="B157" s="3"/>
      <c r="C157" s="3"/>
      <c r="D157" s="1" t="s">
        <v>144</v>
      </c>
      <c r="E157" s="3"/>
      <c r="F157" s="1" t="s">
        <v>375</v>
      </c>
      <c r="G157" s="1" t="s">
        <v>376</v>
      </c>
      <c r="H157" s="1" t="s">
        <v>42</v>
      </c>
      <c r="I157" s="1" t="s">
        <v>25</v>
      </c>
      <c r="J157" s="1" t="s">
        <v>26</v>
      </c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3.5" customHeight="1" x14ac:dyDescent="0.2">
      <c r="A158" s="3"/>
      <c r="B158" s="3"/>
      <c r="C158" s="3"/>
      <c r="D158" s="1" t="s">
        <v>144</v>
      </c>
      <c r="E158" s="3"/>
      <c r="F158" s="1" t="s">
        <v>377</v>
      </c>
      <c r="G158" s="1" t="s">
        <v>378</v>
      </c>
      <c r="H158" s="1" t="s">
        <v>379</v>
      </c>
      <c r="I158" s="1" t="s">
        <v>25</v>
      </c>
      <c r="J158" s="1" t="s">
        <v>26</v>
      </c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3.5" customHeight="1" x14ac:dyDescent="0.2">
      <c r="A159" s="3"/>
      <c r="B159" s="3"/>
      <c r="C159" s="3"/>
      <c r="D159" s="1" t="s">
        <v>144</v>
      </c>
      <c r="E159" s="3"/>
      <c r="F159" s="1" t="s">
        <v>380</v>
      </c>
      <c r="G159" s="1" t="s">
        <v>148</v>
      </c>
      <c r="H159" s="1" t="s">
        <v>381</v>
      </c>
      <c r="I159" s="1" t="s">
        <v>25</v>
      </c>
      <c r="J159" s="1" t="s">
        <v>30</v>
      </c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3.5" customHeight="1" x14ac:dyDescent="0.2">
      <c r="A160" s="3"/>
      <c r="B160" s="3"/>
      <c r="C160" s="3"/>
      <c r="D160" s="1" t="s">
        <v>144</v>
      </c>
      <c r="E160" s="3"/>
      <c r="F160" s="1" t="s">
        <v>382</v>
      </c>
      <c r="G160" s="1" t="s">
        <v>383</v>
      </c>
      <c r="H160" s="1" t="s">
        <v>384</v>
      </c>
      <c r="I160" s="1" t="s">
        <v>25</v>
      </c>
      <c r="J160" s="1" t="s">
        <v>26</v>
      </c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3.5" customHeight="1" x14ac:dyDescent="0.2">
      <c r="A161" s="3"/>
      <c r="B161" s="3"/>
      <c r="C161" s="3"/>
      <c r="D161" s="1" t="s">
        <v>144</v>
      </c>
      <c r="E161" s="3"/>
      <c r="F161" s="1" t="s">
        <v>385</v>
      </c>
      <c r="G161" s="1" t="s">
        <v>386</v>
      </c>
      <c r="H161" s="1" t="s">
        <v>387</v>
      </c>
      <c r="I161" s="1" t="s">
        <v>25</v>
      </c>
      <c r="J161" s="1" t="s">
        <v>30</v>
      </c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3.5" customHeight="1" x14ac:dyDescent="0.2">
      <c r="A162" s="3"/>
      <c r="B162" s="3"/>
      <c r="C162" s="3"/>
      <c r="D162" s="1" t="s">
        <v>144</v>
      </c>
      <c r="E162" s="3"/>
      <c r="F162" s="1" t="s">
        <v>388</v>
      </c>
      <c r="G162" s="1" t="s">
        <v>317</v>
      </c>
      <c r="H162" s="1" t="s">
        <v>318</v>
      </c>
      <c r="I162" s="1" t="s">
        <v>25</v>
      </c>
      <c r="J162" s="1" t="s">
        <v>26</v>
      </c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3.5" customHeight="1" x14ac:dyDescent="0.2">
      <c r="A163" s="3"/>
      <c r="B163" s="3"/>
      <c r="C163" s="3"/>
      <c r="D163" s="1" t="s">
        <v>144</v>
      </c>
      <c r="E163" s="3"/>
      <c r="F163" s="1" t="s">
        <v>389</v>
      </c>
      <c r="G163" s="1" t="s">
        <v>390</v>
      </c>
      <c r="H163" s="1" t="s">
        <v>391</v>
      </c>
      <c r="I163" s="1" t="s">
        <v>25</v>
      </c>
      <c r="J163" s="1" t="s">
        <v>30</v>
      </c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3.5" customHeight="1" x14ac:dyDescent="0.2">
      <c r="A164" s="3"/>
      <c r="B164" s="3"/>
      <c r="C164" s="3"/>
      <c r="D164" s="1" t="s">
        <v>144</v>
      </c>
      <c r="E164" s="3"/>
      <c r="F164" s="1" t="s">
        <v>392</v>
      </c>
      <c r="G164" s="1" t="s">
        <v>327</v>
      </c>
      <c r="H164" s="1" t="s">
        <v>328</v>
      </c>
      <c r="I164" s="1" t="s">
        <v>25</v>
      </c>
      <c r="J164" s="1" t="s">
        <v>26</v>
      </c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3.5" customHeight="1" x14ac:dyDescent="0.2">
      <c r="A165" s="3"/>
      <c r="B165" s="3"/>
      <c r="C165" s="3"/>
      <c r="D165" s="1" t="s">
        <v>144</v>
      </c>
      <c r="E165" s="3"/>
      <c r="F165" s="1" t="s">
        <v>393</v>
      </c>
      <c r="G165" s="1" t="s">
        <v>61</v>
      </c>
      <c r="H165" s="1" t="s">
        <v>197</v>
      </c>
      <c r="I165" s="1" t="s">
        <v>25</v>
      </c>
      <c r="J165" s="1" t="s">
        <v>30</v>
      </c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3.5" customHeight="1" x14ac:dyDescent="0.2">
      <c r="A166" s="3"/>
      <c r="B166" s="3"/>
      <c r="C166" s="3"/>
      <c r="D166" s="1" t="s">
        <v>144</v>
      </c>
      <c r="E166" s="3"/>
      <c r="F166" s="1" t="s">
        <v>394</v>
      </c>
      <c r="G166" s="1" t="s">
        <v>395</v>
      </c>
      <c r="H166" s="1" t="s">
        <v>33</v>
      </c>
      <c r="I166" s="1" t="s">
        <v>25</v>
      </c>
      <c r="J166" s="1" t="s">
        <v>26</v>
      </c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3.5" customHeight="1" x14ac:dyDescent="0.2">
      <c r="A167" s="3"/>
      <c r="B167" s="3"/>
      <c r="C167" s="3"/>
      <c r="D167" s="1" t="s">
        <v>144</v>
      </c>
      <c r="E167" s="3"/>
      <c r="F167" s="1" t="s">
        <v>396</v>
      </c>
      <c r="G167" s="1" t="s">
        <v>397</v>
      </c>
      <c r="H167" s="1" t="s">
        <v>181</v>
      </c>
      <c r="I167" s="1" t="s">
        <v>25</v>
      </c>
      <c r="J167" s="1" t="s">
        <v>30</v>
      </c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3.5" customHeight="1" x14ac:dyDescent="0.2">
      <c r="A168" s="3"/>
      <c r="B168" s="3"/>
      <c r="C168" s="3"/>
      <c r="D168" s="1" t="s">
        <v>144</v>
      </c>
      <c r="E168" s="3"/>
      <c r="F168" s="1" t="s">
        <v>398</v>
      </c>
      <c r="G168" s="1" t="s">
        <v>160</v>
      </c>
      <c r="H168" s="1" t="s">
        <v>161</v>
      </c>
      <c r="I168" s="1" t="s">
        <v>25</v>
      </c>
      <c r="J168" s="1" t="s">
        <v>26</v>
      </c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3.5" customHeight="1" x14ac:dyDescent="0.2">
      <c r="A169" s="3"/>
      <c r="B169" s="3"/>
      <c r="C169" s="3"/>
      <c r="D169" s="1" t="s">
        <v>144</v>
      </c>
      <c r="E169" s="3"/>
      <c r="F169" s="4" t="s">
        <v>165</v>
      </c>
      <c r="G169" s="1" t="s">
        <v>399</v>
      </c>
      <c r="H169" s="1" t="s">
        <v>400</v>
      </c>
      <c r="I169" s="1" t="s">
        <v>25</v>
      </c>
      <c r="J169" s="1" t="s">
        <v>26</v>
      </c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3.5" customHeight="1" x14ac:dyDescent="0.2">
      <c r="A170" s="3"/>
      <c r="B170" s="3"/>
      <c r="C170" s="3"/>
      <c r="D170" s="1" t="s">
        <v>144</v>
      </c>
      <c r="E170" s="3"/>
      <c r="F170" s="1" t="s">
        <v>401</v>
      </c>
      <c r="G170" s="1" t="s">
        <v>340</v>
      </c>
      <c r="H170" s="1" t="s">
        <v>402</v>
      </c>
      <c r="I170" s="1" t="s">
        <v>25</v>
      </c>
      <c r="J170" s="1" t="s">
        <v>30</v>
      </c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3.5" customHeight="1" x14ac:dyDescent="0.2">
      <c r="A171" s="3"/>
      <c r="B171" s="3"/>
      <c r="C171" s="3"/>
      <c r="D171" s="1" t="s">
        <v>144</v>
      </c>
      <c r="E171" s="3"/>
      <c r="F171" s="1" t="s">
        <v>403</v>
      </c>
      <c r="G171" s="1" t="s">
        <v>61</v>
      </c>
      <c r="H171" s="1" t="s">
        <v>197</v>
      </c>
      <c r="I171" s="1" t="s">
        <v>25</v>
      </c>
      <c r="J171" s="1" t="s">
        <v>26</v>
      </c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3.5" customHeight="1" x14ac:dyDescent="0.2">
      <c r="A172" s="3"/>
      <c r="B172" s="3"/>
      <c r="C172" s="3"/>
      <c r="D172" s="1" t="s">
        <v>144</v>
      </c>
      <c r="E172" s="3"/>
      <c r="F172" s="1" t="s">
        <v>404</v>
      </c>
      <c r="G172" s="1" t="s">
        <v>105</v>
      </c>
      <c r="H172" s="1" t="s">
        <v>106</v>
      </c>
      <c r="I172" s="1" t="s">
        <v>25</v>
      </c>
      <c r="J172" s="1" t="s">
        <v>26</v>
      </c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3.5" customHeight="1" x14ac:dyDescent="0.2">
      <c r="A173" s="3"/>
      <c r="B173" s="3"/>
      <c r="C173" s="3"/>
      <c r="D173" s="1" t="s">
        <v>144</v>
      </c>
      <c r="E173" s="3"/>
      <c r="F173" s="4" t="s">
        <v>165</v>
      </c>
      <c r="G173" s="1" t="s">
        <v>58</v>
      </c>
      <c r="H173" s="1" t="s">
        <v>59</v>
      </c>
      <c r="I173" s="1" t="s">
        <v>25</v>
      </c>
      <c r="J173" s="1" t="s">
        <v>26</v>
      </c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3.5" customHeight="1" x14ac:dyDescent="0.2">
      <c r="A174" s="3"/>
      <c r="B174" s="3"/>
      <c r="C174" s="3"/>
      <c r="D174" s="1" t="s">
        <v>144</v>
      </c>
      <c r="E174" s="3"/>
      <c r="F174" s="1" t="s">
        <v>405</v>
      </c>
      <c r="G174" s="1" t="s">
        <v>406</v>
      </c>
      <c r="H174" s="1" t="s">
        <v>76</v>
      </c>
      <c r="I174" s="1" t="s">
        <v>25</v>
      </c>
      <c r="J174" s="1" t="s">
        <v>30</v>
      </c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3.5" customHeight="1" x14ac:dyDescent="0.2">
      <c r="A175" s="3"/>
      <c r="B175" s="3"/>
      <c r="C175" s="3"/>
      <c r="D175" s="1" t="s">
        <v>144</v>
      </c>
      <c r="E175" s="3"/>
      <c r="F175" s="1" t="s">
        <v>407</v>
      </c>
      <c r="G175" s="1" t="s">
        <v>408</v>
      </c>
      <c r="H175" s="1" t="s">
        <v>379</v>
      </c>
      <c r="I175" s="1" t="s">
        <v>25</v>
      </c>
      <c r="J175" s="1" t="s">
        <v>26</v>
      </c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3.5" customHeight="1" x14ac:dyDescent="0.2">
      <c r="A176" s="3"/>
      <c r="B176" s="3"/>
      <c r="C176" s="3"/>
      <c r="D176" s="1" t="s">
        <v>144</v>
      </c>
      <c r="E176" s="3"/>
      <c r="F176" s="1" t="s">
        <v>409</v>
      </c>
      <c r="G176" s="1" t="s">
        <v>75</v>
      </c>
      <c r="H176" s="1" t="s">
        <v>76</v>
      </c>
      <c r="I176" s="1" t="s">
        <v>25</v>
      </c>
      <c r="J176" s="1" t="s">
        <v>26</v>
      </c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3.5" customHeight="1" x14ac:dyDescent="0.2">
      <c r="A177" s="3"/>
      <c r="B177" s="3"/>
      <c r="C177" s="3"/>
      <c r="D177" s="1" t="s">
        <v>144</v>
      </c>
      <c r="E177" s="3"/>
      <c r="F177" s="1" t="s">
        <v>410</v>
      </c>
      <c r="G177" s="1" t="s">
        <v>411</v>
      </c>
      <c r="H177" s="1" t="s">
        <v>42</v>
      </c>
      <c r="I177" s="1" t="s">
        <v>25</v>
      </c>
      <c r="J177" s="1" t="s">
        <v>26</v>
      </c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3.5" customHeight="1" x14ac:dyDescent="0.2">
      <c r="A178" s="3"/>
      <c r="B178" s="3"/>
      <c r="C178" s="3"/>
      <c r="D178" s="1" t="s">
        <v>144</v>
      </c>
      <c r="E178" s="3"/>
      <c r="F178" s="1" t="s">
        <v>412</v>
      </c>
      <c r="G178" s="1" t="s">
        <v>127</v>
      </c>
      <c r="H178" s="1" t="s">
        <v>128</v>
      </c>
      <c r="I178" s="1" t="s">
        <v>25</v>
      </c>
      <c r="J178" s="1" t="s">
        <v>30</v>
      </c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3.5" customHeight="1" x14ac:dyDescent="0.2">
      <c r="A179" s="3"/>
      <c r="B179" s="3"/>
      <c r="C179" s="3"/>
      <c r="D179" s="1" t="s">
        <v>144</v>
      </c>
      <c r="E179" s="3"/>
      <c r="F179" s="1" t="s">
        <v>413</v>
      </c>
      <c r="G179" s="1" t="s">
        <v>414</v>
      </c>
      <c r="H179" s="1" t="s">
        <v>415</v>
      </c>
      <c r="I179" s="1" t="s">
        <v>25</v>
      </c>
      <c r="J179" s="1" t="s">
        <v>26</v>
      </c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5" customHeight="1" x14ac:dyDescent="0.2">
      <c r="A180" s="5"/>
      <c r="B180" s="5"/>
      <c r="C180" s="5"/>
      <c r="D180" s="6" t="s">
        <v>421</v>
      </c>
      <c r="E180" s="5"/>
      <c r="F180" s="7" t="s">
        <v>416</v>
      </c>
      <c r="G180" s="6" t="s">
        <v>417</v>
      </c>
      <c r="H180" s="6" t="s">
        <v>418</v>
      </c>
      <c r="I180" s="8" t="s">
        <v>419</v>
      </c>
      <c r="J180" s="6" t="s">
        <v>26</v>
      </c>
      <c r="K180" s="5">
        <v>28.87</v>
      </c>
      <c r="L180" s="5">
        <v>17.920000000000002</v>
      </c>
      <c r="M180" s="5">
        <v>5.66</v>
      </c>
      <c r="N180" s="5">
        <v>7.67</v>
      </c>
      <c r="O180" s="5">
        <v>11.59</v>
      </c>
      <c r="P180" s="5">
        <v>22.28</v>
      </c>
      <c r="Q180" s="5">
        <v>28</v>
      </c>
      <c r="R180" s="5">
        <v>122</v>
      </c>
      <c r="S180" s="5">
        <v>112</v>
      </c>
      <c r="T180" s="9"/>
      <c r="U180" s="5"/>
      <c r="V180" s="6" t="s">
        <v>420</v>
      </c>
    </row>
    <row r="181" spans="1:29" ht="15" customHeight="1" x14ac:dyDescent="0.2">
      <c r="A181" s="5"/>
      <c r="B181" s="5"/>
      <c r="C181" s="5"/>
      <c r="D181" s="6" t="s">
        <v>421</v>
      </c>
      <c r="E181" s="5"/>
      <c r="F181" s="6" t="s">
        <v>422</v>
      </c>
      <c r="G181" s="6" t="s">
        <v>423</v>
      </c>
      <c r="H181" s="6" t="s">
        <v>170</v>
      </c>
      <c r="I181" s="8" t="s">
        <v>419</v>
      </c>
      <c r="J181" s="6" t="s">
        <v>30</v>
      </c>
      <c r="K181" s="5">
        <v>24.11</v>
      </c>
      <c r="L181" s="5">
        <v>15.13</v>
      </c>
      <c r="M181" s="5">
        <v>5.25</v>
      </c>
      <c r="N181" s="5">
        <v>7.26</v>
      </c>
      <c r="O181" s="5">
        <v>10.39</v>
      </c>
      <c r="P181" s="5">
        <v>19.03</v>
      </c>
      <c r="Q181" s="5">
        <v>18</v>
      </c>
      <c r="R181" s="5">
        <v>112</v>
      </c>
      <c r="S181" s="5">
        <v>98</v>
      </c>
      <c r="T181" s="10"/>
      <c r="U181" s="5"/>
      <c r="V181" s="6" t="s">
        <v>424</v>
      </c>
    </row>
    <row r="182" spans="1:29" ht="15" customHeight="1" x14ac:dyDescent="0.2">
      <c r="A182" s="5"/>
      <c r="B182" s="5"/>
      <c r="C182" s="5"/>
      <c r="D182" s="27" t="s">
        <v>425</v>
      </c>
      <c r="E182" s="5"/>
      <c r="F182" s="6" t="s">
        <v>426</v>
      </c>
      <c r="G182" s="6" t="s">
        <v>427</v>
      </c>
      <c r="H182" s="6" t="s">
        <v>358</v>
      </c>
      <c r="I182" s="8" t="s">
        <v>419</v>
      </c>
      <c r="J182" s="6" t="s">
        <v>26</v>
      </c>
      <c r="K182" s="5">
        <v>28.28</v>
      </c>
      <c r="L182" s="5">
        <v>18.45</v>
      </c>
      <c r="M182" s="5">
        <v>5.5</v>
      </c>
      <c r="N182" s="5">
        <v>7.27</v>
      </c>
      <c r="O182" s="5">
        <v>11.28</v>
      </c>
      <c r="P182" s="5">
        <v>20.96</v>
      </c>
      <c r="Q182" s="5">
        <v>23</v>
      </c>
      <c r="R182" s="5">
        <v>116</v>
      </c>
      <c r="S182" s="5">
        <v>112</v>
      </c>
      <c r="T182" s="5"/>
      <c r="U182" s="5"/>
      <c r="V182" s="6" t="s">
        <v>424</v>
      </c>
    </row>
    <row r="183" spans="1:29" ht="15" customHeight="1" x14ac:dyDescent="0.2">
      <c r="A183" s="5"/>
      <c r="B183" s="5"/>
      <c r="C183" s="5"/>
      <c r="D183" s="6" t="s">
        <v>425</v>
      </c>
      <c r="E183" s="5"/>
      <c r="F183" s="6" t="s">
        <v>428</v>
      </c>
      <c r="G183" s="6" t="s">
        <v>429</v>
      </c>
      <c r="H183" s="6" t="s">
        <v>430</v>
      </c>
      <c r="I183" s="8" t="s">
        <v>419</v>
      </c>
      <c r="J183" s="6" t="s">
        <v>26</v>
      </c>
      <c r="K183" s="5">
        <v>27.91</v>
      </c>
      <c r="L183" s="5">
        <v>17.29</v>
      </c>
      <c r="M183" s="5">
        <v>5.41</v>
      </c>
      <c r="N183" s="5">
        <v>7.62</v>
      </c>
      <c r="O183" s="5">
        <v>11.47</v>
      </c>
      <c r="P183" s="5">
        <v>20.63</v>
      </c>
      <c r="Q183" s="5">
        <v>24</v>
      </c>
      <c r="R183" s="5">
        <v>125</v>
      </c>
      <c r="S183" s="5">
        <v>112</v>
      </c>
      <c r="T183" s="5"/>
      <c r="U183" s="5"/>
      <c r="V183" s="6" t="s">
        <v>424</v>
      </c>
    </row>
    <row r="184" spans="1:29" ht="15" customHeight="1" x14ac:dyDescent="0.2">
      <c r="A184" s="5"/>
      <c r="B184" s="5"/>
      <c r="C184" s="5"/>
      <c r="D184" s="6" t="s">
        <v>421</v>
      </c>
      <c r="E184" s="5"/>
      <c r="F184" s="6" t="s">
        <v>431</v>
      </c>
      <c r="G184" s="6" t="s">
        <v>432</v>
      </c>
      <c r="H184" s="6" t="s">
        <v>76</v>
      </c>
      <c r="I184" s="8" t="s">
        <v>419</v>
      </c>
      <c r="J184" s="6" t="s">
        <v>26</v>
      </c>
      <c r="K184" s="5">
        <v>28.28</v>
      </c>
      <c r="L184" s="5">
        <v>17.510000000000002</v>
      </c>
      <c r="M184" s="5">
        <v>5.54</v>
      </c>
      <c r="N184" s="5">
        <v>6.4</v>
      </c>
      <c r="O184" s="5">
        <v>11.47</v>
      </c>
      <c r="P184" s="5">
        <v>20.7</v>
      </c>
      <c r="Q184" s="5">
        <v>23</v>
      </c>
      <c r="R184" s="5">
        <v>117</v>
      </c>
      <c r="S184" s="5">
        <v>107</v>
      </c>
      <c r="T184" s="5"/>
      <c r="U184" s="5"/>
      <c r="V184" s="6" t="s">
        <v>424</v>
      </c>
    </row>
    <row r="185" spans="1:29" ht="15" customHeight="1" x14ac:dyDescent="0.2">
      <c r="A185" s="5"/>
      <c r="B185" s="5"/>
      <c r="C185" s="5"/>
      <c r="D185" s="6" t="s">
        <v>421</v>
      </c>
      <c r="E185" s="5"/>
      <c r="F185" s="6" t="s">
        <v>433</v>
      </c>
      <c r="G185" s="6" t="s">
        <v>434</v>
      </c>
      <c r="H185" s="6" t="s">
        <v>418</v>
      </c>
      <c r="I185" s="8" t="s">
        <v>419</v>
      </c>
      <c r="J185" s="6" t="s">
        <v>26</v>
      </c>
      <c r="K185" s="5">
        <v>28.03</v>
      </c>
      <c r="L185" s="5">
        <v>17.39</v>
      </c>
      <c r="M185" s="5">
        <v>5.54</v>
      </c>
      <c r="N185" s="5">
        <v>6.88</v>
      </c>
      <c r="O185" s="5">
        <v>11.55</v>
      </c>
      <c r="P185" s="5">
        <v>20.59</v>
      </c>
      <c r="Q185" s="5">
        <v>19</v>
      </c>
      <c r="R185" s="5">
        <v>116</v>
      </c>
      <c r="S185" s="5">
        <v>113</v>
      </c>
      <c r="T185" s="5"/>
      <c r="U185" s="5"/>
      <c r="V185" s="6" t="s">
        <v>424</v>
      </c>
    </row>
    <row r="186" spans="1:29" ht="15" customHeight="1" x14ac:dyDescent="0.2">
      <c r="A186" s="5"/>
      <c r="B186" s="5"/>
      <c r="C186" s="5"/>
      <c r="D186" s="6" t="s">
        <v>421</v>
      </c>
      <c r="E186" s="5"/>
      <c r="F186" s="6" t="s">
        <v>435</v>
      </c>
      <c r="G186" s="6" t="s">
        <v>436</v>
      </c>
      <c r="H186" s="6" t="s">
        <v>170</v>
      </c>
      <c r="I186" s="8" t="s">
        <v>419</v>
      </c>
      <c r="J186" s="6" t="s">
        <v>30</v>
      </c>
      <c r="K186" s="5">
        <v>26.86</v>
      </c>
      <c r="L186" s="5">
        <v>17.73</v>
      </c>
      <c r="M186" s="5">
        <v>5.33</v>
      </c>
      <c r="N186" s="5">
        <v>6.71</v>
      </c>
      <c r="O186" s="5">
        <v>10.86</v>
      </c>
      <c r="P186" s="5">
        <v>20.8</v>
      </c>
      <c r="Q186" s="5">
        <v>17</v>
      </c>
      <c r="R186" s="5">
        <v>107</v>
      </c>
      <c r="S186" s="5">
        <v>91</v>
      </c>
      <c r="T186" s="5"/>
      <c r="U186" s="5"/>
      <c r="V186" s="6" t="s">
        <v>424</v>
      </c>
    </row>
    <row r="187" spans="1:29" ht="15" customHeight="1" x14ac:dyDescent="0.2">
      <c r="A187" s="5"/>
      <c r="B187" s="5"/>
      <c r="C187" s="5"/>
      <c r="D187" s="6" t="s">
        <v>425</v>
      </c>
      <c r="E187" s="5"/>
      <c r="F187" s="6" t="s">
        <v>437</v>
      </c>
      <c r="G187" s="6" t="s">
        <v>438</v>
      </c>
      <c r="H187" s="6" t="s">
        <v>224</v>
      </c>
      <c r="I187" s="8" t="s">
        <v>419</v>
      </c>
      <c r="J187" s="6" t="s">
        <v>26</v>
      </c>
      <c r="K187" s="5">
        <v>30.51</v>
      </c>
      <c r="L187" s="5">
        <v>18.62</v>
      </c>
      <c r="M187" s="5">
        <v>5.38</v>
      </c>
      <c r="N187" s="5">
        <v>7.99</v>
      </c>
      <c r="O187" s="5">
        <v>12.74</v>
      </c>
      <c r="P187" s="5">
        <v>20.12</v>
      </c>
      <c r="Q187" s="5">
        <v>21</v>
      </c>
      <c r="R187" s="5">
        <v>125</v>
      </c>
      <c r="S187" s="5">
        <v>111</v>
      </c>
      <c r="T187" s="5"/>
      <c r="U187" s="5"/>
      <c r="V187" s="6" t="s">
        <v>424</v>
      </c>
    </row>
    <row r="188" spans="1:29" ht="15" customHeight="1" x14ac:dyDescent="0.2">
      <c r="A188" s="5"/>
      <c r="B188" s="5"/>
      <c r="C188" s="5"/>
      <c r="D188" s="6" t="s">
        <v>425</v>
      </c>
      <c r="E188" s="5"/>
      <c r="F188" s="6" t="s">
        <v>439</v>
      </c>
      <c r="G188" s="6" t="s">
        <v>440</v>
      </c>
      <c r="H188" s="6" t="s">
        <v>441</v>
      </c>
      <c r="I188" s="8" t="s">
        <v>419</v>
      </c>
      <c r="J188" s="6" t="s">
        <v>26</v>
      </c>
      <c r="K188" s="5">
        <v>28.29</v>
      </c>
      <c r="L188" s="5">
        <v>17.55</v>
      </c>
      <c r="M188" s="5">
        <v>5.52</v>
      </c>
      <c r="N188" s="5">
        <v>7.07</v>
      </c>
      <c r="O188" s="5">
        <v>11.26</v>
      </c>
      <c r="P188" s="5">
        <v>20.18</v>
      </c>
      <c r="Q188" s="5">
        <v>20</v>
      </c>
      <c r="R188" s="5">
        <v>116</v>
      </c>
      <c r="S188" s="5">
        <v>112</v>
      </c>
      <c r="T188" s="5"/>
      <c r="U188" s="5"/>
      <c r="V188" s="6" t="s">
        <v>424</v>
      </c>
    </row>
    <row r="189" spans="1:29" ht="15" customHeight="1" x14ac:dyDescent="0.2">
      <c r="A189" s="5"/>
      <c r="B189" s="5"/>
      <c r="C189" s="5"/>
      <c r="D189" s="6" t="s">
        <v>425</v>
      </c>
      <c r="E189" s="5"/>
      <c r="F189" s="6" t="s">
        <v>442</v>
      </c>
      <c r="G189" s="6" t="s">
        <v>443</v>
      </c>
      <c r="H189" s="6" t="s">
        <v>358</v>
      </c>
      <c r="I189" s="8" t="s">
        <v>419</v>
      </c>
      <c r="J189" s="6" t="s">
        <v>30</v>
      </c>
      <c r="K189" s="5">
        <v>25.59</v>
      </c>
      <c r="L189" s="5">
        <v>15.63</v>
      </c>
      <c r="M189" s="5">
        <v>5.74</v>
      </c>
      <c r="N189" s="5">
        <v>6.92</v>
      </c>
      <c r="O189" s="5">
        <v>11.03</v>
      </c>
      <c r="P189" s="5">
        <v>20.48</v>
      </c>
      <c r="Q189" s="5">
        <v>17</v>
      </c>
      <c r="R189" s="5">
        <v>111</v>
      </c>
      <c r="S189" s="5">
        <v>101</v>
      </c>
      <c r="T189" s="5"/>
      <c r="U189" s="5"/>
      <c r="V189" s="6" t="s">
        <v>424</v>
      </c>
    </row>
    <row r="190" spans="1:29" ht="15" customHeight="1" x14ac:dyDescent="0.2">
      <c r="A190" s="5"/>
      <c r="B190" s="5"/>
      <c r="C190" s="5"/>
      <c r="D190" s="6" t="s">
        <v>425</v>
      </c>
      <c r="E190" s="5"/>
      <c r="F190" s="6" t="s">
        <v>444</v>
      </c>
      <c r="G190" s="6" t="s">
        <v>445</v>
      </c>
      <c r="H190" s="6" t="s">
        <v>446</v>
      </c>
      <c r="I190" s="8" t="s">
        <v>419</v>
      </c>
      <c r="J190" s="6" t="s">
        <v>30</v>
      </c>
      <c r="K190" s="5">
        <v>27.74</v>
      </c>
      <c r="L190" s="5">
        <v>16.82</v>
      </c>
      <c r="M190" s="5">
        <v>5.53</v>
      </c>
      <c r="N190" s="5">
        <v>7.32</v>
      </c>
      <c r="O190" s="5">
        <v>11.78</v>
      </c>
      <c r="P190" s="5">
        <v>20.55</v>
      </c>
      <c r="Q190" s="5">
        <v>22</v>
      </c>
      <c r="R190" s="5">
        <v>117</v>
      </c>
      <c r="S190" s="5">
        <v>108</v>
      </c>
      <c r="T190" s="5"/>
      <c r="U190" s="5"/>
      <c r="V190" s="6" t="s">
        <v>424</v>
      </c>
    </row>
    <row r="191" spans="1:29" ht="15" customHeight="1" x14ac:dyDescent="0.2">
      <c r="A191" s="5"/>
      <c r="B191" s="5"/>
      <c r="C191" s="5"/>
      <c r="D191" s="6" t="s">
        <v>425</v>
      </c>
      <c r="E191" s="5"/>
      <c r="F191" s="6" t="s">
        <v>447</v>
      </c>
      <c r="G191" s="6" t="s">
        <v>448</v>
      </c>
      <c r="H191" s="6" t="s">
        <v>449</v>
      </c>
      <c r="I191" s="8" t="s">
        <v>419</v>
      </c>
      <c r="J191" s="6" t="s">
        <v>30</v>
      </c>
      <c r="K191" s="6" t="s">
        <v>685</v>
      </c>
      <c r="L191" s="6" t="s">
        <v>685</v>
      </c>
      <c r="M191" s="5">
        <v>5.98</v>
      </c>
      <c r="N191" s="5">
        <v>7.56</v>
      </c>
      <c r="O191" s="5">
        <v>10.95</v>
      </c>
      <c r="P191" s="5">
        <v>20.2</v>
      </c>
      <c r="Q191" s="5">
        <v>21</v>
      </c>
      <c r="R191" s="5">
        <v>116</v>
      </c>
      <c r="S191" s="5">
        <v>108</v>
      </c>
      <c r="T191" s="5"/>
      <c r="U191" s="5"/>
      <c r="V191" s="6" t="s">
        <v>424</v>
      </c>
    </row>
    <row r="192" spans="1:29" ht="15" customHeight="1" x14ac:dyDescent="0.2">
      <c r="A192" s="3"/>
      <c r="B192" s="3"/>
      <c r="C192" s="3"/>
      <c r="D192" s="6" t="s">
        <v>425</v>
      </c>
      <c r="E192" s="3"/>
      <c r="F192" s="12" t="s">
        <v>450</v>
      </c>
      <c r="G192" s="6" t="s">
        <v>451</v>
      </c>
      <c r="H192" s="12" t="s">
        <v>452</v>
      </c>
      <c r="I192" s="8" t="s">
        <v>419</v>
      </c>
      <c r="J192" s="12" t="s">
        <v>26</v>
      </c>
      <c r="K192" s="13">
        <v>28.76</v>
      </c>
      <c r="L192" s="13">
        <v>17.72</v>
      </c>
      <c r="M192" s="13">
        <v>5.87</v>
      </c>
      <c r="N192" s="13">
        <v>7.44</v>
      </c>
      <c r="O192" s="13">
        <v>12.15</v>
      </c>
      <c r="P192" s="13">
        <v>20.5</v>
      </c>
      <c r="Q192" s="13">
        <v>25</v>
      </c>
      <c r="R192" s="13">
        <v>123</v>
      </c>
      <c r="S192" s="13">
        <v>110</v>
      </c>
      <c r="T192" s="3"/>
      <c r="U192" s="3"/>
      <c r="V192" s="6" t="s">
        <v>424</v>
      </c>
    </row>
    <row r="193" spans="1:22" ht="15" customHeight="1" x14ac:dyDescent="0.2">
      <c r="A193" s="3"/>
      <c r="B193" s="3"/>
      <c r="C193" s="3"/>
      <c r="D193" s="6" t="s">
        <v>425</v>
      </c>
      <c r="E193" s="3"/>
      <c r="F193" s="14" t="s">
        <v>453</v>
      </c>
      <c r="G193" s="6" t="s">
        <v>454</v>
      </c>
      <c r="H193" s="14" t="s">
        <v>455</v>
      </c>
      <c r="I193" s="8" t="s">
        <v>419</v>
      </c>
      <c r="J193" s="14" t="s">
        <v>26</v>
      </c>
      <c r="K193" s="15">
        <v>28.88</v>
      </c>
      <c r="L193" s="15">
        <v>17.93</v>
      </c>
      <c r="M193" s="15">
        <v>5.13</v>
      </c>
      <c r="N193" s="15">
        <v>7.04</v>
      </c>
      <c r="O193" s="15">
        <v>10.63</v>
      </c>
      <c r="P193" s="15">
        <v>22.01</v>
      </c>
      <c r="Q193" s="15">
        <v>21</v>
      </c>
      <c r="R193" s="15">
        <v>123</v>
      </c>
      <c r="S193" s="15">
        <v>112</v>
      </c>
      <c r="T193" s="3"/>
      <c r="U193" s="3"/>
      <c r="V193" s="6" t="s">
        <v>424</v>
      </c>
    </row>
    <row r="194" spans="1:22" ht="15" customHeight="1" x14ac:dyDescent="0.2">
      <c r="A194" s="3"/>
      <c r="B194" s="3"/>
      <c r="C194" s="3"/>
      <c r="D194" s="14" t="s">
        <v>421</v>
      </c>
      <c r="E194" s="3"/>
      <c r="F194" s="14" t="s">
        <v>456</v>
      </c>
      <c r="G194" s="6" t="s">
        <v>457</v>
      </c>
      <c r="H194" s="14" t="s">
        <v>458</v>
      </c>
      <c r="I194" s="8" t="s">
        <v>419</v>
      </c>
      <c r="J194" s="14" t="s">
        <v>30</v>
      </c>
      <c r="K194" s="15">
        <v>34.04</v>
      </c>
      <c r="L194" s="15">
        <v>19.95</v>
      </c>
      <c r="M194" s="15">
        <v>6.48</v>
      </c>
      <c r="N194" s="15">
        <v>9.1199999999999992</v>
      </c>
      <c r="O194" s="15">
        <v>13.5</v>
      </c>
      <c r="P194" s="15">
        <v>25.43</v>
      </c>
      <c r="Q194" s="15">
        <v>22</v>
      </c>
      <c r="R194" s="15">
        <v>132</v>
      </c>
      <c r="S194" s="15">
        <v>113</v>
      </c>
      <c r="T194" s="3"/>
      <c r="U194" s="3"/>
      <c r="V194" s="6" t="s">
        <v>424</v>
      </c>
    </row>
    <row r="195" spans="1:22" ht="15" customHeight="1" x14ac:dyDescent="0.2">
      <c r="A195" s="3"/>
      <c r="B195" s="3"/>
      <c r="C195" s="3"/>
      <c r="D195" s="14" t="s">
        <v>425</v>
      </c>
      <c r="E195" s="3"/>
      <c r="F195" s="14" t="s">
        <v>459</v>
      </c>
      <c r="G195" s="6" t="s">
        <v>357</v>
      </c>
      <c r="H195" s="14" t="s">
        <v>358</v>
      </c>
      <c r="I195" s="8" t="s">
        <v>419</v>
      </c>
      <c r="J195" s="14" t="s">
        <v>26</v>
      </c>
      <c r="K195" s="14" t="s">
        <v>685</v>
      </c>
      <c r="L195" s="14" t="s">
        <v>685</v>
      </c>
      <c r="M195" s="15">
        <v>5.42</v>
      </c>
      <c r="N195" s="15">
        <v>7.81</v>
      </c>
      <c r="O195" s="15">
        <v>10.77</v>
      </c>
      <c r="P195" s="15">
        <v>20.59</v>
      </c>
      <c r="Q195" s="15">
        <v>21</v>
      </c>
      <c r="R195" s="15">
        <v>130</v>
      </c>
      <c r="S195" s="15">
        <v>106</v>
      </c>
      <c r="T195" s="3"/>
      <c r="U195" s="3"/>
      <c r="V195" s="6" t="s">
        <v>424</v>
      </c>
    </row>
    <row r="196" spans="1:22" ht="15" customHeight="1" x14ac:dyDescent="0.2">
      <c r="A196" s="3"/>
      <c r="B196" s="3"/>
      <c r="C196" s="3"/>
      <c r="D196" s="14" t="s">
        <v>425</v>
      </c>
      <c r="E196" s="3"/>
      <c r="F196" s="14" t="s">
        <v>460</v>
      </c>
      <c r="G196" s="6" t="s">
        <v>461</v>
      </c>
      <c r="H196" s="14" t="s">
        <v>462</v>
      </c>
      <c r="I196" s="8" t="s">
        <v>419</v>
      </c>
      <c r="J196" s="14" t="s">
        <v>30</v>
      </c>
      <c r="K196" s="15">
        <v>26.85</v>
      </c>
      <c r="L196" s="15">
        <v>16.68</v>
      </c>
      <c r="M196" s="15">
        <v>5.61</v>
      </c>
      <c r="N196" s="15">
        <v>7.12</v>
      </c>
      <c r="O196" s="15">
        <v>11.71</v>
      </c>
      <c r="P196" s="15">
        <v>21.97</v>
      </c>
      <c r="Q196" s="15">
        <v>22</v>
      </c>
      <c r="R196" s="15">
        <v>111</v>
      </c>
      <c r="S196" s="15">
        <v>95</v>
      </c>
      <c r="T196" s="3"/>
      <c r="U196" s="3"/>
      <c r="V196" s="6" t="s">
        <v>424</v>
      </c>
    </row>
    <row r="197" spans="1:22" ht="15" customHeight="1" x14ac:dyDescent="0.2">
      <c r="A197" s="3"/>
      <c r="B197" s="3"/>
      <c r="C197" s="3"/>
      <c r="D197" s="14" t="s">
        <v>425</v>
      </c>
      <c r="E197" s="3"/>
      <c r="F197" s="14" t="s">
        <v>463</v>
      </c>
      <c r="G197" s="6" t="s">
        <v>464</v>
      </c>
      <c r="H197" s="14" t="s">
        <v>224</v>
      </c>
      <c r="I197" s="8" t="s">
        <v>419</v>
      </c>
      <c r="J197" s="14" t="s">
        <v>26</v>
      </c>
      <c r="K197" s="15">
        <v>27.39</v>
      </c>
      <c r="L197" s="15">
        <v>17.75</v>
      </c>
      <c r="M197" s="15">
        <v>5.8</v>
      </c>
      <c r="N197" s="15">
        <v>7.16</v>
      </c>
      <c r="O197" s="15">
        <v>11.86</v>
      </c>
      <c r="P197" s="15">
        <v>20.170000000000002</v>
      </c>
      <c r="Q197" s="15">
        <v>21</v>
      </c>
      <c r="R197" s="15">
        <v>120</v>
      </c>
      <c r="S197" s="15">
        <v>112</v>
      </c>
      <c r="T197" s="3"/>
      <c r="U197" s="3"/>
      <c r="V197" s="6" t="s">
        <v>424</v>
      </c>
    </row>
    <row r="198" spans="1:22" ht="15" customHeight="1" x14ac:dyDescent="0.2">
      <c r="A198" s="3"/>
      <c r="B198" s="3"/>
      <c r="C198" s="3"/>
      <c r="D198" s="14" t="s">
        <v>425</v>
      </c>
      <c r="E198" s="3"/>
      <c r="F198" s="14" t="s">
        <v>465</v>
      </c>
      <c r="G198" s="6" t="s">
        <v>466</v>
      </c>
      <c r="H198" s="14" t="s">
        <v>358</v>
      </c>
      <c r="I198" s="8" t="s">
        <v>419</v>
      </c>
      <c r="J198" s="14" t="s">
        <v>26</v>
      </c>
      <c r="K198" s="15">
        <v>27.75</v>
      </c>
      <c r="L198" s="15">
        <v>17.190000000000001</v>
      </c>
      <c r="M198" s="15">
        <v>5.72</v>
      </c>
      <c r="N198" s="15">
        <v>7.29</v>
      </c>
      <c r="O198" s="15">
        <v>11.5</v>
      </c>
      <c r="P198" s="15">
        <v>20.57</v>
      </c>
      <c r="Q198" s="15">
        <v>20</v>
      </c>
      <c r="R198" s="15">
        <v>116</v>
      </c>
      <c r="S198" s="15">
        <v>101</v>
      </c>
      <c r="T198" s="3"/>
      <c r="U198" s="3"/>
      <c r="V198" s="6" t="s">
        <v>424</v>
      </c>
    </row>
    <row r="199" spans="1:22" ht="15" customHeight="1" x14ac:dyDescent="0.2">
      <c r="A199" s="3"/>
      <c r="B199" s="3"/>
      <c r="C199" s="3"/>
      <c r="D199" s="14" t="s">
        <v>421</v>
      </c>
      <c r="E199" s="3"/>
      <c r="F199" s="14" t="s">
        <v>467</v>
      </c>
      <c r="G199" s="6" t="s">
        <v>468</v>
      </c>
      <c r="H199" s="14" t="s">
        <v>469</v>
      </c>
      <c r="I199" s="8" t="s">
        <v>419</v>
      </c>
      <c r="J199" s="14" t="s">
        <v>26</v>
      </c>
      <c r="K199" s="15">
        <v>27.85</v>
      </c>
      <c r="L199" s="15">
        <v>17.27</v>
      </c>
      <c r="M199" s="15">
        <v>5.92</v>
      </c>
      <c r="N199" s="15">
        <v>6.7</v>
      </c>
      <c r="O199" s="15">
        <v>11.39</v>
      </c>
      <c r="P199" s="15">
        <v>18.84</v>
      </c>
      <c r="Q199" s="15">
        <v>21</v>
      </c>
      <c r="R199" s="15">
        <v>110</v>
      </c>
      <c r="S199" s="15">
        <v>107</v>
      </c>
      <c r="T199" s="3"/>
      <c r="U199" s="3"/>
      <c r="V199" s="6" t="s">
        <v>424</v>
      </c>
    </row>
    <row r="200" spans="1:22" ht="15" customHeight="1" x14ac:dyDescent="0.2">
      <c r="A200" s="3"/>
      <c r="B200" s="3"/>
      <c r="C200" s="3"/>
      <c r="D200" s="14" t="s">
        <v>425</v>
      </c>
      <c r="E200" s="3"/>
      <c r="F200" s="14" t="s">
        <v>470</v>
      </c>
      <c r="G200" s="6" t="s">
        <v>471</v>
      </c>
      <c r="H200" s="14" t="s">
        <v>358</v>
      </c>
      <c r="I200" s="8" t="s">
        <v>419</v>
      </c>
      <c r="J200" s="14" t="s">
        <v>30</v>
      </c>
      <c r="K200" s="15">
        <v>27.06</v>
      </c>
      <c r="L200" s="15">
        <v>17.89</v>
      </c>
      <c r="M200" s="15">
        <v>5.21</v>
      </c>
      <c r="N200" s="15">
        <v>7.21</v>
      </c>
      <c r="O200" s="15">
        <v>11.85</v>
      </c>
      <c r="P200" s="15">
        <v>20.25</v>
      </c>
      <c r="Q200" s="15">
        <v>19</v>
      </c>
      <c r="R200" s="15">
        <v>118</v>
      </c>
      <c r="S200" s="15">
        <v>102</v>
      </c>
      <c r="T200" s="3"/>
      <c r="U200" s="3"/>
      <c r="V200" s="6" t="s">
        <v>424</v>
      </c>
    </row>
    <row r="201" spans="1:22" ht="15" customHeight="1" x14ac:dyDescent="0.2">
      <c r="A201" s="3"/>
      <c r="B201" s="3"/>
      <c r="C201" s="3"/>
      <c r="D201" s="14" t="s">
        <v>425</v>
      </c>
      <c r="E201" s="3"/>
      <c r="F201" s="14" t="s">
        <v>472</v>
      </c>
      <c r="G201" s="6" t="s">
        <v>473</v>
      </c>
      <c r="H201" s="14" t="s">
        <v>358</v>
      </c>
      <c r="I201" s="8" t="s">
        <v>419</v>
      </c>
      <c r="J201" s="14" t="s">
        <v>30</v>
      </c>
      <c r="K201" s="14" t="s">
        <v>685</v>
      </c>
      <c r="L201" s="14" t="s">
        <v>685</v>
      </c>
      <c r="M201" s="15">
        <v>5.07</v>
      </c>
      <c r="N201" s="15">
        <v>6.68</v>
      </c>
      <c r="O201" s="15">
        <v>10.96</v>
      </c>
      <c r="P201" s="15">
        <v>20.05</v>
      </c>
      <c r="Q201" s="15">
        <v>16</v>
      </c>
      <c r="R201" s="15">
        <v>110</v>
      </c>
      <c r="S201" s="15">
        <v>99</v>
      </c>
      <c r="T201" s="3"/>
      <c r="U201" s="3"/>
      <c r="V201" s="6" t="s">
        <v>424</v>
      </c>
    </row>
    <row r="202" spans="1:22" ht="15" customHeight="1" x14ac:dyDescent="0.2">
      <c r="A202" s="3"/>
      <c r="B202" s="3"/>
      <c r="C202" s="3"/>
      <c r="D202" s="14" t="s">
        <v>421</v>
      </c>
      <c r="E202" s="3"/>
      <c r="F202" s="14" t="s">
        <v>474</v>
      </c>
      <c r="G202" s="6" t="s">
        <v>475</v>
      </c>
      <c r="H202" s="14" t="s">
        <v>418</v>
      </c>
      <c r="I202" s="8" t="s">
        <v>419</v>
      </c>
      <c r="J202" s="14" t="s">
        <v>26</v>
      </c>
      <c r="K202" s="15">
        <v>27.01</v>
      </c>
      <c r="L202" s="15">
        <v>15.4</v>
      </c>
      <c r="M202" s="15">
        <v>5.63</v>
      </c>
      <c r="N202" s="15">
        <v>7.12</v>
      </c>
      <c r="O202" s="15">
        <v>12.05</v>
      </c>
      <c r="P202" s="15">
        <v>20.16</v>
      </c>
      <c r="Q202" s="15">
        <v>24</v>
      </c>
      <c r="R202" s="15">
        <v>125</v>
      </c>
      <c r="S202" s="15">
        <v>106</v>
      </c>
      <c r="T202" s="3"/>
      <c r="U202" s="3"/>
      <c r="V202" s="6" t="s">
        <v>424</v>
      </c>
    </row>
    <row r="203" spans="1:22" ht="15" customHeight="1" x14ac:dyDescent="0.2">
      <c r="A203" s="3"/>
      <c r="B203" s="3"/>
      <c r="C203" s="3"/>
      <c r="D203" s="14" t="s">
        <v>425</v>
      </c>
      <c r="E203" s="3"/>
      <c r="F203" s="14" t="s">
        <v>476</v>
      </c>
      <c r="G203" s="6" t="s">
        <v>477</v>
      </c>
      <c r="H203" s="14" t="s">
        <v>170</v>
      </c>
      <c r="I203" s="8" t="s">
        <v>419</v>
      </c>
      <c r="J203" s="14" t="s">
        <v>26</v>
      </c>
      <c r="K203" s="15">
        <v>24.08</v>
      </c>
      <c r="L203" s="15">
        <v>15.02</v>
      </c>
      <c r="M203" s="15">
        <v>5.54</v>
      </c>
      <c r="N203" s="15">
        <v>6.31</v>
      </c>
      <c r="O203" s="15">
        <v>11.52</v>
      </c>
      <c r="P203" s="15">
        <v>19.170000000000002</v>
      </c>
      <c r="Q203" s="15">
        <v>22</v>
      </c>
      <c r="R203" s="15">
        <v>112</v>
      </c>
      <c r="S203" s="15">
        <v>100</v>
      </c>
      <c r="T203" s="3"/>
      <c r="U203" s="3"/>
      <c r="V203" s="6" t="s">
        <v>424</v>
      </c>
    </row>
    <row r="204" spans="1:22" ht="15" customHeight="1" x14ac:dyDescent="0.2">
      <c r="A204" s="3"/>
      <c r="B204" s="3"/>
      <c r="C204" s="3"/>
      <c r="D204" s="14" t="s">
        <v>421</v>
      </c>
      <c r="E204" s="3"/>
      <c r="F204" s="14" t="s">
        <v>478</v>
      </c>
      <c r="G204" s="6" t="s">
        <v>479</v>
      </c>
      <c r="H204" s="14" t="s">
        <v>418</v>
      </c>
      <c r="I204" s="8" t="s">
        <v>419</v>
      </c>
      <c r="J204" s="14" t="s">
        <v>26</v>
      </c>
      <c r="K204" s="15">
        <v>27.92</v>
      </c>
      <c r="L204" s="15">
        <v>16.98</v>
      </c>
      <c r="M204" s="15">
        <v>5.04</v>
      </c>
      <c r="N204" s="15">
        <v>7.28</v>
      </c>
      <c r="O204" s="15">
        <v>11.81</v>
      </c>
      <c r="P204" s="15">
        <v>20.85</v>
      </c>
      <c r="Q204" s="15">
        <v>19</v>
      </c>
      <c r="R204" s="15">
        <v>116</v>
      </c>
      <c r="S204" s="15">
        <v>106</v>
      </c>
      <c r="T204" s="3"/>
      <c r="U204" s="3"/>
      <c r="V204" s="6" t="s">
        <v>424</v>
      </c>
    </row>
    <row r="205" spans="1:22" ht="15" customHeight="1" x14ac:dyDescent="0.2">
      <c r="A205" s="3"/>
      <c r="B205" s="3"/>
      <c r="C205" s="3"/>
      <c r="D205" s="14" t="s">
        <v>421</v>
      </c>
      <c r="E205" s="3"/>
      <c r="F205" s="14" t="s">
        <v>480</v>
      </c>
      <c r="G205" s="6" t="s">
        <v>481</v>
      </c>
      <c r="H205" s="14" t="s">
        <v>482</v>
      </c>
      <c r="I205" s="8" t="s">
        <v>419</v>
      </c>
      <c r="J205" s="14" t="s">
        <v>26</v>
      </c>
      <c r="K205" s="15">
        <v>26.53</v>
      </c>
      <c r="L205" s="15">
        <v>17.63</v>
      </c>
      <c r="M205" s="15">
        <v>5.43</v>
      </c>
      <c r="N205" s="15">
        <v>7.13</v>
      </c>
      <c r="O205" s="15">
        <v>11.58</v>
      </c>
      <c r="P205" s="15">
        <v>20.94</v>
      </c>
      <c r="Q205" s="15">
        <v>17</v>
      </c>
      <c r="R205" s="15">
        <v>110</v>
      </c>
      <c r="S205" s="15">
        <v>117</v>
      </c>
      <c r="T205" s="3"/>
      <c r="U205" s="3"/>
      <c r="V205" s="6" t="s">
        <v>424</v>
      </c>
    </row>
    <row r="206" spans="1:22" ht="15" customHeight="1" x14ac:dyDescent="0.2">
      <c r="A206" s="3"/>
      <c r="B206" s="3"/>
      <c r="C206" s="3"/>
      <c r="D206" s="14" t="s">
        <v>421</v>
      </c>
      <c r="E206" s="3"/>
      <c r="F206" s="14" t="s">
        <v>483</v>
      </c>
      <c r="G206" s="6" t="s">
        <v>484</v>
      </c>
      <c r="H206" s="14" t="s">
        <v>418</v>
      </c>
      <c r="I206" s="8" t="s">
        <v>419</v>
      </c>
      <c r="J206" s="14" t="s">
        <v>30</v>
      </c>
      <c r="K206" s="15">
        <v>28.26</v>
      </c>
      <c r="L206" s="15">
        <v>15.98</v>
      </c>
      <c r="M206" s="15">
        <v>4.75</v>
      </c>
      <c r="N206" s="15">
        <v>6.03</v>
      </c>
      <c r="O206" s="15">
        <v>10.71</v>
      </c>
      <c r="P206" s="15">
        <v>20.23</v>
      </c>
      <c r="Q206" s="15">
        <v>22</v>
      </c>
      <c r="R206" s="15">
        <v>113</v>
      </c>
      <c r="S206" s="15">
        <v>102</v>
      </c>
      <c r="T206" s="3"/>
      <c r="U206" s="3"/>
      <c r="V206" s="6" t="s">
        <v>424</v>
      </c>
    </row>
    <row r="207" spans="1:22" ht="15" customHeight="1" x14ac:dyDescent="0.2">
      <c r="A207" s="3"/>
      <c r="B207" s="3"/>
      <c r="C207" s="3"/>
      <c r="D207" s="14" t="s">
        <v>485</v>
      </c>
      <c r="E207" s="3"/>
      <c r="F207" s="14" t="s">
        <v>486</v>
      </c>
      <c r="G207" s="6" t="s">
        <v>169</v>
      </c>
      <c r="H207" s="14" t="s">
        <v>170</v>
      </c>
      <c r="I207" s="8" t="s">
        <v>419</v>
      </c>
      <c r="J207" s="14" t="s">
        <v>30</v>
      </c>
      <c r="K207" s="15">
        <v>26.45</v>
      </c>
      <c r="L207" s="15">
        <v>17.78</v>
      </c>
      <c r="M207" s="15">
        <v>5.34</v>
      </c>
      <c r="N207" s="15">
        <v>7.16</v>
      </c>
      <c r="O207" s="15">
        <v>11.71</v>
      </c>
      <c r="P207" s="15">
        <v>18.34</v>
      </c>
      <c r="Q207" s="15">
        <v>18</v>
      </c>
      <c r="R207" s="15">
        <v>114</v>
      </c>
      <c r="S207" s="15">
        <v>98</v>
      </c>
      <c r="T207" s="3"/>
      <c r="U207" s="3"/>
      <c r="V207" s="6" t="s">
        <v>424</v>
      </c>
    </row>
    <row r="208" spans="1:22" ht="15" customHeight="1" x14ac:dyDescent="0.2">
      <c r="A208" s="3"/>
      <c r="B208" s="3"/>
      <c r="C208" s="3"/>
      <c r="D208" s="14" t="s">
        <v>485</v>
      </c>
      <c r="E208" s="3"/>
      <c r="F208" s="14" t="s">
        <v>487</v>
      </c>
      <c r="G208" s="6" t="s">
        <v>475</v>
      </c>
      <c r="H208" s="14" t="s">
        <v>418</v>
      </c>
      <c r="I208" s="8" t="s">
        <v>419</v>
      </c>
      <c r="J208" s="14" t="s">
        <v>26</v>
      </c>
      <c r="K208" s="15">
        <v>27.31</v>
      </c>
      <c r="L208" s="15">
        <v>16.97</v>
      </c>
      <c r="M208" s="15">
        <v>5.25</v>
      </c>
      <c r="N208" s="15">
        <v>6.75</v>
      </c>
      <c r="O208" s="15">
        <v>11.5</v>
      </c>
      <c r="P208" s="15">
        <v>20.64</v>
      </c>
      <c r="Q208" s="15">
        <v>26</v>
      </c>
      <c r="R208" s="15">
        <v>126</v>
      </c>
      <c r="S208" s="15">
        <v>110</v>
      </c>
      <c r="T208" s="3"/>
      <c r="U208" s="3"/>
      <c r="V208" s="6" t="s">
        <v>424</v>
      </c>
    </row>
    <row r="209" spans="1:22" ht="15" customHeight="1" x14ac:dyDescent="0.2">
      <c r="A209" s="3"/>
      <c r="B209" s="3"/>
      <c r="C209" s="3"/>
      <c r="D209" s="14" t="s">
        <v>485</v>
      </c>
      <c r="E209" s="3"/>
      <c r="F209" s="14" t="s">
        <v>488</v>
      </c>
      <c r="G209" s="6" t="s">
        <v>217</v>
      </c>
      <c r="H209" s="14" t="s">
        <v>76</v>
      </c>
      <c r="I209" s="8" t="s">
        <v>419</v>
      </c>
      <c r="J209" s="14" t="s">
        <v>26</v>
      </c>
      <c r="K209" s="15">
        <v>28.83</v>
      </c>
      <c r="L209" s="15">
        <v>17.13</v>
      </c>
      <c r="M209" s="15">
        <v>5.71</v>
      </c>
      <c r="N209" s="15">
        <v>7.26</v>
      </c>
      <c r="O209" s="15">
        <v>11.72</v>
      </c>
      <c r="P209" s="15">
        <v>21.42</v>
      </c>
      <c r="Q209" s="15">
        <v>24</v>
      </c>
      <c r="R209" s="15">
        <v>126</v>
      </c>
      <c r="S209" s="15">
        <v>114</v>
      </c>
      <c r="T209" s="3"/>
      <c r="U209" s="3"/>
      <c r="V209" s="6" t="s">
        <v>424</v>
      </c>
    </row>
    <row r="210" spans="1:22" ht="15" customHeight="1" x14ac:dyDescent="0.2">
      <c r="A210" s="3"/>
      <c r="B210" s="3"/>
      <c r="C210" s="3"/>
      <c r="D210" s="14" t="s">
        <v>425</v>
      </c>
      <c r="E210" s="3"/>
      <c r="F210" s="14" t="s">
        <v>489</v>
      </c>
      <c r="G210" s="6" t="s">
        <v>417</v>
      </c>
      <c r="H210" s="14" t="s">
        <v>418</v>
      </c>
      <c r="I210" s="8" t="s">
        <v>419</v>
      </c>
      <c r="J210" s="14" t="s">
        <v>30</v>
      </c>
      <c r="K210" s="15">
        <v>26.65</v>
      </c>
      <c r="L210" s="15">
        <v>16.309999999999999</v>
      </c>
      <c r="M210" s="15">
        <v>5.4</v>
      </c>
      <c r="N210" s="15">
        <v>6.82</v>
      </c>
      <c r="O210" s="15">
        <v>9.1999999999999993</v>
      </c>
      <c r="P210" s="15">
        <v>21.51</v>
      </c>
      <c r="Q210" s="15">
        <v>21</v>
      </c>
      <c r="R210" s="15">
        <v>116</v>
      </c>
      <c r="S210" s="15">
        <v>98</v>
      </c>
      <c r="T210" s="3"/>
      <c r="U210" s="3"/>
      <c r="V210" s="6" t="s">
        <v>424</v>
      </c>
    </row>
    <row r="211" spans="1:22" ht="15" customHeight="1" x14ac:dyDescent="0.2">
      <c r="A211" s="3"/>
      <c r="B211" s="3"/>
      <c r="C211" s="3"/>
      <c r="D211" s="14" t="s">
        <v>425</v>
      </c>
      <c r="E211" s="3"/>
      <c r="F211" s="14" t="s">
        <v>490</v>
      </c>
      <c r="G211" s="6" t="s">
        <v>491</v>
      </c>
      <c r="H211" s="14" t="s">
        <v>492</v>
      </c>
      <c r="I211" s="8" t="s">
        <v>419</v>
      </c>
      <c r="J211" s="14" t="s">
        <v>26</v>
      </c>
      <c r="K211" s="15">
        <v>27.29</v>
      </c>
      <c r="L211" s="15">
        <v>17.46</v>
      </c>
      <c r="M211" s="15">
        <v>5.54</v>
      </c>
      <c r="N211" s="15">
        <v>7.06</v>
      </c>
      <c r="O211" s="15">
        <v>10</v>
      </c>
      <c r="P211" s="15">
        <v>20.3</v>
      </c>
      <c r="Q211" s="15">
        <v>22</v>
      </c>
      <c r="R211" s="15">
        <v>122</v>
      </c>
      <c r="S211" s="15">
        <v>111</v>
      </c>
      <c r="T211" s="3"/>
      <c r="U211" s="3"/>
      <c r="V211" s="6" t="s">
        <v>424</v>
      </c>
    </row>
    <row r="212" spans="1:22" ht="15" customHeight="1" x14ac:dyDescent="0.2">
      <c r="A212" s="3"/>
      <c r="B212" s="3"/>
      <c r="C212" s="3"/>
      <c r="D212" s="14" t="s">
        <v>425</v>
      </c>
      <c r="E212" s="3"/>
      <c r="F212" s="14" t="s">
        <v>493</v>
      </c>
      <c r="G212" s="6" t="s">
        <v>494</v>
      </c>
      <c r="H212" s="14" t="s">
        <v>224</v>
      </c>
      <c r="I212" s="8" t="s">
        <v>419</v>
      </c>
      <c r="J212" s="14" t="s">
        <v>26</v>
      </c>
      <c r="K212" s="15">
        <v>30.72</v>
      </c>
      <c r="L212" s="15">
        <v>20.78</v>
      </c>
      <c r="M212" s="15">
        <v>5.32</v>
      </c>
      <c r="N212" s="15">
        <v>7.96</v>
      </c>
      <c r="O212" s="15">
        <v>10.24</v>
      </c>
      <c r="P212" s="15">
        <v>19.18</v>
      </c>
      <c r="Q212" s="15">
        <v>22</v>
      </c>
      <c r="R212" s="15">
        <v>121</v>
      </c>
      <c r="S212" s="15">
        <v>110</v>
      </c>
      <c r="T212" s="3"/>
      <c r="U212" s="3"/>
      <c r="V212" s="6" t="s">
        <v>424</v>
      </c>
    </row>
    <row r="213" spans="1:22" ht="15" customHeight="1" x14ac:dyDescent="0.2">
      <c r="A213" s="3"/>
      <c r="B213" s="3"/>
      <c r="C213" s="3"/>
      <c r="D213" s="14" t="s">
        <v>425</v>
      </c>
      <c r="E213" s="3"/>
      <c r="F213" s="14" t="s">
        <v>495</v>
      </c>
      <c r="G213" s="6" t="s">
        <v>496</v>
      </c>
      <c r="H213" s="14" t="s">
        <v>358</v>
      </c>
      <c r="I213" s="8" t="s">
        <v>419</v>
      </c>
      <c r="J213" s="14" t="s">
        <v>30</v>
      </c>
      <c r="K213" s="15">
        <v>27.73</v>
      </c>
      <c r="L213" s="15">
        <v>17.02</v>
      </c>
      <c r="M213" s="15">
        <v>5.36</v>
      </c>
      <c r="N213" s="15">
        <v>6.92</v>
      </c>
      <c r="O213" s="15">
        <v>10.81</v>
      </c>
      <c r="P213" s="15">
        <v>20.350000000000001</v>
      </c>
      <c r="Q213" s="15">
        <v>20</v>
      </c>
      <c r="R213" s="15">
        <v>113</v>
      </c>
      <c r="S213" s="15">
        <v>101</v>
      </c>
      <c r="T213" s="3"/>
      <c r="U213" s="3"/>
      <c r="V213" s="6" t="s">
        <v>424</v>
      </c>
    </row>
    <row r="214" spans="1:22" ht="15" customHeight="1" x14ac:dyDescent="0.2">
      <c r="A214" s="3"/>
      <c r="B214" s="3"/>
      <c r="C214" s="3"/>
      <c r="D214" s="14" t="s">
        <v>421</v>
      </c>
      <c r="E214" s="3"/>
      <c r="F214" s="14" t="s">
        <v>497</v>
      </c>
      <c r="G214" s="6" t="s">
        <v>75</v>
      </c>
      <c r="H214" s="14" t="s">
        <v>76</v>
      </c>
      <c r="I214" s="8" t="s">
        <v>419</v>
      </c>
      <c r="J214" s="14" t="s">
        <v>26</v>
      </c>
      <c r="K214" s="15">
        <v>28.34</v>
      </c>
      <c r="L214" s="15">
        <v>17.97</v>
      </c>
      <c r="M214" s="15">
        <v>5.49</v>
      </c>
      <c r="N214" s="15">
        <v>6.74</v>
      </c>
      <c r="O214" s="15">
        <v>11.31</v>
      </c>
      <c r="P214" s="15">
        <v>20.77</v>
      </c>
      <c r="Q214" s="15">
        <v>21</v>
      </c>
      <c r="R214" s="15">
        <v>118</v>
      </c>
      <c r="S214" s="15">
        <v>98</v>
      </c>
      <c r="T214" s="3"/>
      <c r="U214" s="3"/>
      <c r="V214" s="6" t="s">
        <v>424</v>
      </c>
    </row>
    <row r="215" spans="1:22" ht="15" customHeight="1" x14ac:dyDescent="0.2">
      <c r="A215" s="3"/>
      <c r="B215" s="3"/>
      <c r="C215" s="3"/>
      <c r="D215" s="14" t="s">
        <v>421</v>
      </c>
      <c r="E215" s="3"/>
      <c r="F215" s="14" t="s">
        <v>498</v>
      </c>
      <c r="G215" s="6" t="s">
        <v>499</v>
      </c>
      <c r="H215" s="14" t="s">
        <v>500</v>
      </c>
      <c r="I215" s="8" t="s">
        <v>419</v>
      </c>
      <c r="J215" s="14" t="s">
        <v>30</v>
      </c>
      <c r="K215" s="15">
        <v>25.7</v>
      </c>
      <c r="L215" s="15">
        <v>15.95</v>
      </c>
      <c r="M215" s="15">
        <v>6.05</v>
      </c>
      <c r="N215" s="15">
        <v>7.62</v>
      </c>
      <c r="O215" s="15">
        <v>11.06</v>
      </c>
      <c r="P215" s="15">
        <v>20.7</v>
      </c>
      <c r="Q215" s="15">
        <v>19</v>
      </c>
      <c r="R215" s="15">
        <v>111</v>
      </c>
      <c r="S215" s="15">
        <v>95</v>
      </c>
      <c r="T215" s="3"/>
      <c r="U215" s="3"/>
      <c r="V215" s="6" t="s">
        <v>424</v>
      </c>
    </row>
    <row r="216" spans="1:22" ht="15" customHeight="1" x14ac:dyDescent="0.2">
      <c r="A216" s="3"/>
      <c r="B216" s="3"/>
      <c r="C216" s="3"/>
      <c r="D216" s="14" t="s">
        <v>421</v>
      </c>
      <c r="E216" s="3"/>
      <c r="F216" s="14" t="s">
        <v>501</v>
      </c>
      <c r="G216" s="6" t="s">
        <v>502</v>
      </c>
      <c r="H216" s="14" t="s">
        <v>503</v>
      </c>
      <c r="I216" s="8" t="s">
        <v>419</v>
      </c>
      <c r="J216" s="14" t="s">
        <v>26</v>
      </c>
      <c r="K216" s="15">
        <v>30.37</v>
      </c>
      <c r="L216" s="15">
        <v>18.14</v>
      </c>
      <c r="M216" s="15">
        <v>5.72</v>
      </c>
      <c r="N216" s="15">
        <v>7.41</v>
      </c>
      <c r="O216" s="15">
        <v>10.57</v>
      </c>
      <c r="P216" s="15">
        <v>20.45</v>
      </c>
      <c r="Q216" s="15">
        <v>21</v>
      </c>
      <c r="R216" s="15">
        <v>117</v>
      </c>
      <c r="S216" s="15">
        <v>111</v>
      </c>
      <c r="T216" s="3"/>
      <c r="U216" s="3"/>
      <c r="V216" s="6" t="s">
        <v>424</v>
      </c>
    </row>
    <row r="217" spans="1:22" ht="15" customHeight="1" x14ac:dyDescent="0.2">
      <c r="A217" s="3"/>
      <c r="B217" s="3"/>
      <c r="C217" s="3"/>
      <c r="D217" s="14" t="s">
        <v>421</v>
      </c>
      <c r="E217" s="3"/>
      <c r="F217" s="14" t="s">
        <v>504</v>
      </c>
      <c r="G217" s="6" t="s">
        <v>505</v>
      </c>
      <c r="H217" s="14" t="s">
        <v>500</v>
      </c>
      <c r="I217" s="8" t="s">
        <v>419</v>
      </c>
      <c r="J217" s="14" t="s">
        <v>26</v>
      </c>
      <c r="K217" s="15">
        <v>28.31</v>
      </c>
      <c r="L217" s="15">
        <v>18.149999999999999</v>
      </c>
      <c r="M217" s="15">
        <v>6.19</v>
      </c>
      <c r="N217" s="15">
        <v>7.3</v>
      </c>
      <c r="O217" s="15">
        <v>10.91</v>
      </c>
      <c r="P217" s="15">
        <v>21</v>
      </c>
      <c r="Q217" s="15">
        <v>20</v>
      </c>
      <c r="R217" s="15">
        <v>119</v>
      </c>
      <c r="S217" s="15">
        <v>105</v>
      </c>
      <c r="T217" s="3"/>
      <c r="U217" s="3"/>
      <c r="V217" s="6" t="s">
        <v>424</v>
      </c>
    </row>
    <row r="218" spans="1:22" ht="15" customHeight="1" x14ac:dyDescent="0.2">
      <c r="A218" s="3"/>
      <c r="B218" s="3"/>
      <c r="C218" s="3"/>
      <c r="D218" s="14" t="s">
        <v>425</v>
      </c>
      <c r="E218" s="3"/>
      <c r="F218" s="14" t="s">
        <v>506</v>
      </c>
      <c r="G218" s="6" t="s">
        <v>448</v>
      </c>
      <c r="H218" s="14" t="s">
        <v>449</v>
      </c>
      <c r="I218" s="8" t="s">
        <v>419</v>
      </c>
      <c r="J218" s="14" t="s">
        <v>26</v>
      </c>
      <c r="K218" s="15">
        <v>28.84</v>
      </c>
      <c r="L218" s="15">
        <v>17.649999999999999</v>
      </c>
      <c r="M218" s="15">
        <v>5.21</v>
      </c>
      <c r="N218" s="15">
        <v>7</v>
      </c>
      <c r="O218" s="15">
        <v>10.77</v>
      </c>
      <c r="P218" s="15">
        <v>20.47</v>
      </c>
      <c r="Q218" s="15">
        <v>25</v>
      </c>
      <c r="R218" s="15">
        <v>120</v>
      </c>
      <c r="S218" s="15">
        <v>106</v>
      </c>
      <c r="T218" s="3"/>
      <c r="U218" s="3"/>
      <c r="V218" s="6" t="s">
        <v>424</v>
      </c>
    </row>
    <row r="219" spans="1:22" ht="15" customHeight="1" x14ac:dyDescent="0.2">
      <c r="A219" s="3"/>
      <c r="B219" s="3"/>
      <c r="C219" s="3"/>
      <c r="D219" s="14" t="s">
        <v>421</v>
      </c>
      <c r="E219" s="3"/>
      <c r="F219" s="14" t="s">
        <v>507</v>
      </c>
      <c r="G219" s="6" t="s">
        <v>508</v>
      </c>
      <c r="H219" s="14" t="s">
        <v>469</v>
      </c>
      <c r="I219" s="8" t="s">
        <v>419</v>
      </c>
      <c r="J219" s="14" t="s">
        <v>30</v>
      </c>
      <c r="K219" s="15">
        <v>27.2</v>
      </c>
      <c r="L219" s="15">
        <v>16.87</v>
      </c>
      <c r="M219" s="15">
        <v>5.01</v>
      </c>
      <c r="N219" s="15">
        <v>6.71</v>
      </c>
      <c r="O219" s="15">
        <v>9.7200000000000006</v>
      </c>
      <c r="P219" s="15">
        <v>22.54</v>
      </c>
      <c r="Q219" s="15">
        <v>20</v>
      </c>
      <c r="R219" s="15">
        <v>111</v>
      </c>
      <c r="S219" s="15">
        <v>103</v>
      </c>
      <c r="T219" s="3"/>
      <c r="U219" s="3"/>
      <c r="V219" s="6" t="s">
        <v>424</v>
      </c>
    </row>
    <row r="220" spans="1:22" ht="15" customHeight="1" x14ac:dyDescent="0.2">
      <c r="A220" s="3"/>
      <c r="B220" s="3"/>
      <c r="C220" s="3"/>
      <c r="D220" s="14" t="s">
        <v>421</v>
      </c>
      <c r="E220" s="3"/>
      <c r="F220" s="14" t="s">
        <v>509</v>
      </c>
      <c r="G220" s="6" t="s">
        <v>510</v>
      </c>
      <c r="H220" s="14" t="s">
        <v>418</v>
      </c>
      <c r="I220" s="8" t="s">
        <v>419</v>
      </c>
      <c r="J220" s="14" t="s">
        <v>26</v>
      </c>
      <c r="K220" s="15">
        <v>27.57</v>
      </c>
      <c r="L220" s="15">
        <v>17.28</v>
      </c>
      <c r="M220" s="15">
        <v>5.14</v>
      </c>
      <c r="N220" s="15">
        <v>7.56</v>
      </c>
      <c r="O220" s="15">
        <v>12.98</v>
      </c>
      <c r="P220" s="15">
        <v>20.11</v>
      </c>
      <c r="Q220" s="15">
        <v>22</v>
      </c>
      <c r="R220" s="15">
        <v>124</v>
      </c>
      <c r="S220" s="15">
        <v>106</v>
      </c>
      <c r="T220" s="3"/>
      <c r="U220" s="3"/>
      <c r="V220" s="6" t="s">
        <v>424</v>
      </c>
    </row>
    <row r="221" spans="1:22" ht="15" customHeight="1" x14ac:dyDescent="0.2">
      <c r="A221" s="3"/>
      <c r="B221" s="3"/>
      <c r="C221" s="3"/>
      <c r="D221" s="14" t="s">
        <v>421</v>
      </c>
      <c r="E221" s="3"/>
      <c r="F221" s="14" t="s">
        <v>511</v>
      </c>
      <c r="G221" s="6" t="s">
        <v>432</v>
      </c>
      <c r="H221" s="14" t="s">
        <v>76</v>
      </c>
      <c r="I221" s="8" t="s">
        <v>419</v>
      </c>
      <c r="J221" s="14" t="s">
        <v>30</v>
      </c>
      <c r="K221" s="15">
        <v>27.01</v>
      </c>
      <c r="L221" s="15">
        <v>16.25</v>
      </c>
      <c r="M221" s="15">
        <v>5.37</v>
      </c>
      <c r="N221" s="15">
        <v>6.44</v>
      </c>
      <c r="O221" s="15">
        <v>10.210000000000001</v>
      </c>
      <c r="P221" s="15">
        <v>20.61</v>
      </c>
      <c r="Q221" s="15">
        <v>21</v>
      </c>
      <c r="R221" s="15">
        <v>115</v>
      </c>
      <c r="S221" s="15">
        <v>104</v>
      </c>
      <c r="T221" s="3"/>
      <c r="U221" s="3"/>
      <c r="V221" s="6" t="s">
        <v>424</v>
      </c>
    </row>
    <row r="222" spans="1:22" ht="15" customHeight="1" x14ac:dyDescent="0.2">
      <c r="A222" s="3"/>
      <c r="B222" s="3"/>
      <c r="C222" s="3"/>
      <c r="D222" s="14" t="s">
        <v>421</v>
      </c>
      <c r="E222" s="3"/>
      <c r="F222" s="14" t="s">
        <v>512</v>
      </c>
      <c r="G222" s="6" t="s">
        <v>513</v>
      </c>
      <c r="H222" s="14" t="s">
        <v>418</v>
      </c>
      <c r="I222" s="8" t="s">
        <v>419</v>
      </c>
      <c r="J222" s="14" t="s">
        <v>26</v>
      </c>
      <c r="K222" s="14" t="s">
        <v>685</v>
      </c>
      <c r="L222" s="14" t="s">
        <v>685</v>
      </c>
      <c r="M222" s="15">
        <v>5.49</v>
      </c>
      <c r="N222" s="15">
        <v>7.02</v>
      </c>
      <c r="O222" s="15">
        <v>10</v>
      </c>
      <c r="P222" s="15">
        <v>20.37</v>
      </c>
      <c r="Q222" s="15">
        <v>20</v>
      </c>
      <c r="R222" s="15">
        <v>118</v>
      </c>
      <c r="S222" s="15">
        <v>105</v>
      </c>
      <c r="T222" s="3"/>
      <c r="U222" s="3"/>
      <c r="V222" s="6" t="s">
        <v>424</v>
      </c>
    </row>
    <row r="223" spans="1:22" ht="15" customHeight="1" x14ac:dyDescent="0.2">
      <c r="A223" s="3"/>
      <c r="B223" s="3"/>
      <c r="C223" s="3"/>
      <c r="D223" s="14" t="s">
        <v>421</v>
      </c>
      <c r="E223" s="3"/>
      <c r="F223" s="14" t="s">
        <v>514</v>
      </c>
      <c r="G223" s="6" t="s">
        <v>515</v>
      </c>
      <c r="H223" s="14" t="s">
        <v>516</v>
      </c>
      <c r="I223" s="8" t="s">
        <v>419</v>
      </c>
      <c r="J223" s="14" t="s">
        <v>26</v>
      </c>
      <c r="K223" s="15">
        <v>28.92</v>
      </c>
      <c r="L223" s="15">
        <v>17.88</v>
      </c>
      <c r="M223" s="15">
        <v>5.77</v>
      </c>
      <c r="N223" s="15">
        <v>7.21</v>
      </c>
      <c r="O223" s="15">
        <v>12.96</v>
      </c>
      <c r="P223" s="15">
        <v>19.71</v>
      </c>
      <c r="Q223" s="15">
        <v>21</v>
      </c>
      <c r="R223" s="15">
        <v>118</v>
      </c>
      <c r="S223" s="15">
        <v>107</v>
      </c>
      <c r="T223" s="3"/>
      <c r="U223" s="3"/>
      <c r="V223" s="6" t="s">
        <v>424</v>
      </c>
    </row>
    <row r="224" spans="1:22" ht="15" customHeight="1" x14ac:dyDescent="0.2">
      <c r="A224" s="3"/>
      <c r="B224" s="3"/>
      <c r="C224" s="3"/>
      <c r="D224" s="14" t="s">
        <v>421</v>
      </c>
      <c r="E224" s="3"/>
      <c r="F224" s="14" t="s">
        <v>517</v>
      </c>
      <c r="G224" s="6" t="s">
        <v>518</v>
      </c>
      <c r="H224" s="14" t="s">
        <v>519</v>
      </c>
      <c r="I224" s="8" t="s">
        <v>419</v>
      </c>
      <c r="J224" s="14" t="s">
        <v>26</v>
      </c>
      <c r="K224" s="15">
        <v>30.62</v>
      </c>
      <c r="L224" s="15">
        <v>18.260000000000002</v>
      </c>
      <c r="M224" s="15">
        <v>5.9</v>
      </c>
      <c r="N224" s="15">
        <v>7.75</v>
      </c>
      <c r="O224" s="15">
        <v>12.13</v>
      </c>
      <c r="P224" s="15">
        <v>20.88</v>
      </c>
      <c r="Q224" s="15">
        <v>22</v>
      </c>
      <c r="R224" s="15">
        <v>117</v>
      </c>
      <c r="S224" s="15">
        <v>99</v>
      </c>
      <c r="T224" s="3"/>
      <c r="U224" s="3"/>
      <c r="V224" s="6" t="s">
        <v>424</v>
      </c>
    </row>
    <row r="225" spans="1:22" ht="15" customHeight="1" x14ac:dyDescent="0.2">
      <c r="A225" s="3"/>
      <c r="B225" s="3"/>
      <c r="C225" s="3"/>
      <c r="D225" s="14" t="s">
        <v>421</v>
      </c>
      <c r="E225" s="3"/>
      <c r="F225" s="16" t="s">
        <v>323</v>
      </c>
      <c r="G225" s="11" t="s">
        <v>141</v>
      </c>
      <c r="H225" s="14" t="s">
        <v>520</v>
      </c>
      <c r="I225" s="8" t="s">
        <v>419</v>
      </c>
      <c r="J225" s="3"/>
      <c r="K225" s="15">
        <v>26.42</v>
      </c>
      <c r="L225" s="15">
        <v>16.440000000000001</v>
      </c>
      <c r="M225" s="15">
        <v>5.03</v>
      </c>
      <c r="N225" s="15">
        <v>7.24</v>
      </c>
      <c r="O225" s="15">
        <v>11.3</v>
      </c>
      <c r="P225" s="15">
        <v>20.45</v>
      </c>
      <c r="Q225" s="15">
        <v>18</v>
      </c>
      <c r="R225" s="15">
        <v>113</v>
      </c>
      <c r="S225" s="15">
        <v>102</v>
      </c>
      <c r="T225" s="3"/>
      <c r="U225" s="3"/>
      <c r="V225" s="6" t="s">
        <v>424</v>
      </c>
    </row>
    <row r="226" spans="1:22" ht="15" customHeight="1" x14ac:dyDescent="0.2">
      <c r="A226" s="3"/>
      <c r="B226" s="3"/>
      <c r="C226" s="3"/>
      <c r="D226" s="14" t="s">
        <v>425</v>
      </c>
      <c r="E226" s="3"/>
      <c r="F226" s="14" t="s">
        <v>521</v>
      </c>
      <c r="G226" s="6" t="s">
        <v>522</v>
      </c>
      <c r="H226" s="14" t="s">
        <v>224</v>
      </c>
      <c r="I226" s="8" t="s">
        <v>419</v>
      </c>
      <c r="J226" s="14" t="s">
        <v>26</v>
      </c>
      <c r="K226" s="15">
        <v>27.79</v>
      </c>
      <c r="L226" s="15">
        <v>17</v>
      </c>
      <c r="M226" s="15">
        <v>5.21</v>
      </c>
      <c r="N226" s="15">
        <v>7.45</v>
      </c>
      <c r="O226" s="15">
        <v>11.61</v>
      </c>
      <c r="P226" s="15">
        <v>20.27</v>
      </c>
      <c r="Q226" s="15">
        <v>22</v>
      </c>
      <c r="R226" s="15">
        <v>124</v>
      </c>
      <c r="S226" s="15">
        <v>112</v>
      </c>
      <c r="T226" s="3"/>
      <c r="U226" s="3"/>
      <c r="V226" s="6" t="s">
        <v>424</v>
      </c>
    </row>
    <row r="227" spans="1:22" ht="15" customHeight="1" x14ac:dyDescent="0.2">
      <c r="A227" s="3"/>
      <c r="B227" s="3"/>
      <c r="C227" s="3"/>
      <c r="D227" s="14" t="s">
        <v>421</v>
      </c>
      <c r="E227" s="3"/>
      <c r="F227" s="14" t="s">
        <v>523</v>
      </c>
      <c r="G227" s="6" t="s">
        <v>524</v>
      </c>
      <c r="H227" s="16" t="s">
        <v>76</v>
      </c>
      <c r="I227" s="8" t="s">
        <v>419</v>
      </c>
      <c r="J227" s="14" t="s">
        <v>30</v>
      </c>
      <c r="K227" s="15">
        <v>27.51</v>
      </c>
      <c r="L227" s="15">
        <v>16.86</v>
      </c>
      <c r="M227" s="15">
        <v>5.0999999999999996</v>
      </c>
      <c r="N227" s="15">
        <v>6.98</v>
      </c>
      <c r="O227" s="15">
        <v>11.85</v>
      </c>
      <c r="P227" s="15">
        <v>20.45</v>
      </c>
      <c r="Q227" s="15">
        <v>20</v>
      </c>
      <c r="R227" s="15">
        <v>110</v>
      </c>
      <c r="S227" s="15">
        <v>109</v>
      </c>
      <c r="T227" s="3"/>
      <c r="U227" s="3"/>
      <c r="V227" s="6" t="s">
        <v>424</v>
      </c>
    </row>
    <row r="228" spans="1:22" ht="15" customHeight="1" x14ac:dyDescent="0.2">
      <c r="A228" s="3"/>
      <c r="B228" s="3"/>
      <c r="C228" s="3"/>
      <c r="D228" s="14" t="s">
        <v>425</v>
      </c>
      <c r="E228" s="3"/>
      <c r="F228" s="14" t="s">
        <v>525</v>
      </c>
      <c r="G228" s="6" t="s">
        <v>526</v>
      </c>
      <c r="H228" s="14" t="s">
        <v>224</v>
      </c>
      <c r="I228" s="8" t="s">
        <v>419</v>
      </c>
      <c r="J228" s="14" t="s">
        <v>26</v>
      </c>
      <c r="K228" s="15">
        <v>26.22</v>
      </c>
      <c r="L228" s="15">
        <v>16.93</v>
      </c>
      <c r="M228" s="15">
        <v>5.42</v>
      </c>
      <c r="N228" s="15">
        <v>7.3</v>
      </c>
      <c r="O228" s="15">
        <v>12.44</v>
      </c>
      <c r="P228" s="15">
        <v>20.239999999999998</v>
      </c>
      <c r="Q228" s="15">
        <v>21</v>
      </c>
      <c r="R228" s="15">
        <v>114</v>
      </c>
      <c r="S228" s="15">
        <v>105</v>
      </c>
      <c r="T228" s="3"/>
      <c r="U228" s="3"/>
      <c r="V228" s="6" t="s">
        <v>424</v>
      </c>
    </row>
    <row r="229" spans="1:22" ht="15" customHeight="1" x14ac:dyDescent="0.2">
      <c r="A229" s="3"/>
      <c r="B229" s="3"/>
      <c r="C229" s="3"/>
      <c r="D229" s="14" t="s">
        <v>425</v>
      </c>
      <c r="E229" s="3"/>
      <c r="F229" s="16" t="s">
        <v>527</v>
      </c>
      <c r="G229" s="6" t="s">
        <v>528</v>
      </c>
      <c r="H229" s="14" t="s">
        <v>418</v>
      </c>
      <c r="I229" s="8" t="s">
        <v>419</v>
      </c>
      <c r="J229" s="14" t="s">
        <v>30</v>
      </c>
      <c r="K229" s="15">
        <v>26.72</v>
      </c>
      <c r="L229" s="15">
        <v>16.84</v>
      </c>
      <c r="M229" s="15">
        <v>6.09</v>
      </c>
      <c r="N229" s="15">
        <v>6.27</v>
      </c>
      <c r="O229" s="15">
        <v>13.12</v>
      </c>
      <c r="P229" s="15">
        <v>20.38</v>
      </c>
      <c r="Q229" s="15">
        <v>16</v>
      </c>
      <c r="R229" s="15">
        <v>115</v>
      </c>
      <c r="S229" s="15">
        <v>98</v>
      </c>
      <c r="T229" s="3"/>
      <c r="U229" s="3"/>
      <c r="V229" s="6" t="s">
        <v>424</v>
      </c>
    </row>
    <row r="230" spans="1:22" ht="15" customHeight="1" x14ac:dyDescent="0.2">
      <c r="A230" s="3"/>
      <c r="B230" s="3"/>
      <c r="C230" s="3"/>
      <c r="D230" s="14" t="s">
        <v>421</v>
      </c>
      <c r="E230" s="3"/>
      <c r="F230" s="16" t="s">
        <v>323</v>
      </c>
      <c r="G230" s="11" t="s">
        <v>141</v>
      </c>
      <c r="H230" s="14" t="s">
        <v>520</v>
      </c>
      <c r="I230" s="8" t="s">
        <v>419</v>
      </c>
      <c r="J230" s="3"/>
      <c r="K230" s="15">
        <v>28.78</v>
      </c>
      <c r="L230" s="15">
        <v>18.25</v>
      </c>
      <c r="M230" s="15">
        <v>5.32</v>
      </c>
      <c r="N230" s="15">
        <v>7.72</v>
      </c>
      <c r="O230" s="15">
        <v>11.87</v>
      </c>
      <c r="P230" s="15">
        <v>20.73</v>
      </c>
      <c r="Q230" s="15">
        <v>21</v>
      </c>
      <c r="R230" s="15">
        <v>116</v>
      </c>
      <c r="S230" s="15">
        <v>105</v>
      </c>
      <c r="T230" s="3"/>
      <c r="U230" s="3"/>
      <c r="V230" s="6" t="s">
        <v>424</v>
      </c>
    </row>
    <row r="231" spans="1:22" ht="15" customHeight="1" x14ac:dyDescent="0.2">
      <c r="A231" s="3"/>
      <c r="B231" s="3"/>
      <c r="C231" s="3"/>
      <c r="D231" s="14" t="s">
        <v>425</v>
      </c>
      <c r="E231" s="3"/>
      <c r="F231" s="14" t="s">
        <v>529</v>
      </c>
      <c r="G231" s="6" t="s">
        <v>454</v>
      </c>
      <c r="H231" s="14" t="s">
        <v>455</v>
      </c>
      <c r="I231" s="8" t="s">
        <v>419</v>
      </c>
      <c r="J231" s="14" t="s">
        <v>30</v>
      </c>
      <c r="K231" s="15">
        <v>25.77</v>
      </c>
      <c r="L231" s="15">
        <v>15.35</v>
      </c>
      <c r="M231" s="15">
        <v>5.28</v>
      </c>
      <c r="N231" s="15">
        <v>6.92</v>
      </c>
      <c r="O231" s="15">
        <v>11.66</v>
      </c>
      <c r="P231" s="15">
        <v>19.309999999999999</v>
      </c>
      <c r="Q231" s="15">
        <v>18</v>
      </c>
      <c r="R231" s="15">
        <v>114</v>
      </c>
      <c r="S231" s="15">
        <v>102</v>
      </c>
      <c r="T231" s="3"/>
      <c r="U231" s="3"/>
      <c r="V231" s="6" t="s">
        <v>424</v>
      </c>
    </row>
    <row r="232" spans="1:22" ht="15" customHeight="1" x14ac:dyDescent="0.2">
      <c r="A232" s="3"/>
      <c r="B232" s="3"/>
      <c r="C232" s="3"/>
      <c r="D232" s="14" t="s">
        <v>421</v>
      </c>
      <c r="E232" s="3"/>
      <c r="F232" s="14" t="s">
        <v>530</v>
      </c>
      <c r="G232" s="6" t="s">
        <v>531</v>
      </c>
      <c r="H232" s="14" t="s">
        <v>418</v>
      </c>
      <c r="I232" s="8" t="s">
        <v>419</v>
      </c>
      <c r="J232" s="14" t="s">
        <v>26</v>
      </c>
      <c r="K232" s="15">
        <v>26.93</v>
      </c>
      <c r="L232" s="15">
        <v>15.87</v>
      </c>
      <c r="M232" s="15">
        <v>5.05</v>
      </c>
      <c r="N232" s="15">
        <v>6.86</v>
      </c>
      <c r="O232" s="15">
        <v>11.15</v>
      </c>
      <c r="P232" s="15">
        <v>20.72</v>
      </c>
      <c r="Q232" s="15">
        <v>22</v>
      </c>
      <c r="R232" s="15">
        <v>121</v>
      </c>
      <c r="S232" s="15">
        <v>100</v>
      </c>
      <c r="T232" s="3"/>
      <c r="U232" s="3"/>
      <c r="V232" s="6" t="s">
        <v>424</v>
      </c>
    </row>
    <row r="233" spans="1:22" ht="15" customHeight="1" x14ac:dyDescent="0.2">
      <c r="A233" s="3"/>
      <c r="B233" s="3"/>
      <c r="C233" s="3"/>
      <c r="D233" s="14" t="s">
        <v>425</v>
      </c>
      <c r="E233" s="3"/>
      <c r="F233" s="14" t="s">
        <v>532</v>
      </c>
      <c r="G233" s="6" t="s">
        <v>533</v>
      </c>
      <c r="H233" s="14" t="s">
        <v>224</v>
      </c>
      <c r="I233" s="8" t="s">
        <v>419</v>
      </c>
      <c r="J233" s="14" t="s">
        <v>26</v>
      </c>
      <c r="K233" s="15">
        <v>29.19</v>
      </c>
      <c r="L233" s="15">
        <v>18.21</v>
      </c>
      <c r="M233" s="15">
        <v>5.49</v>
      </c>
      <c r="N233" s="15">
        <v>7.18</v>
      </c>
      <c r="O233" s="15">
        <v>11.98</v>
      </c>
      <c r="P233" s="15">
        <v>20.3</v>
      </c>
      <c r="Q233" s="14" t="s">
        <v>685</v>
      </c>
      <c r="R233" s="15">
        <v>122</v>
      </c>
      <c r="S233" s="15">
        <v>107</v>
      </c>
      <c r="T233" s="3"/>
      <c r="U233" s="3"/>
      <c r="V233" s="6" t="s">
        <v>424</v>
      </c>
    </row>
    <row r="234" spans="1:22" ht="15" customHeight="1" x14ac:dyDescent="0.2">
      <c r="A234" s="3"/>
      <c r="B234" s="3"/>
      <c r="C234" s="3"/>
      <c r="D234" s="14" t="s">
        <v>421</v>
      </c>
      <c r="E234" s="3"/>
      <c r="F234" s="14" t="s">
        <v>534</v>
      </c>
      <c r="G234" s="6" t="s">
        <v>515</v>
      </c>
      <c r="H234" s="14" t="s">
        <v>516</v>
      </c>
      <c r="I234" s="8" t="s">
        <v>419</v>
      </c>
      <c r="J234" s="14" t="s">
        <v>26</v>
      </c>
      <c r="K234" s="15">
        <v>28.53</v>
      </c>
      <c r="L234" s="15">
        <v>17.84</v>
      </c>
      <c r="M234" s="15">
        <v>5.74</v>
      </c>
      <c r="N234" s="15">
        <v>7.02</v>
      </c>
      <c r="O234" s="15">
        <v>11.18</v>
      </c>
      <c r="P234" s="15">
        <v>21.04</v>
      </c>
      <c r="Q234" s="15">
        <v>25</v>
      </c>
      <c r="R234" s="15">
        <v>121</v>
      </c>
      <c r="S234" s="15">
        <v>110</v>
      </c>
      <c r="T234" s="3"/>
      <c r="U234" s="3"/>
      <c r="V234" s="6" t="s">
        <v>424</v>
      </c>
    </row>
    <row r="235" spans="1:22" ht="15" customHeight="1" x14ac:dyDescent="0.2">
      <c r="A235" s="3"/>
      <c r="B235" s="3"/>
      <c r="C235" s="3"/>
      <c r="D235" s="14" t="s">
        <v>425</v>
      </c>
      <c r="E235" s="3"/>
      <c r="F235" s="14" t="s">
        <v>535</v>
      </c>
      <c r="G235" s="6" t="s">
        <v>461</v>
      </c>
      <c r="H235" s="14" t="s">
        <v>462</v>
      </c>
      <c r="I235" s="8" t="s">
        <v>419</v>
      </c>
      <c r="J235" s="14" t="s">
        <v>26</v>
      </c>
      <c r="K235" s="14" t="s">
        <v>685</v>
      </c>
      <c r="L235" s="14" t="s">
        <v>685</v>
      </c>
      <c r="M235" s="15">
        <v>6.22</v>
      </c>
      <c r="N235" s="15">
        <v>7.7</v>
      </c>
      <c r="O235" s="15">
        <v>11.83</v>
      </c>
      <c r="P235" s="15">
        <v>20.64</v>
      </c>
      <c r="Q235" s="15">
        <v>22</v>
      </c>
      <c r="R235" s="15">
        <v>115</v>
      </c>
      <c r="S235" s="15">
        <v>110</v>
      </c>
      <c r="T235" s="3"/>
      <c r="U235" s="3"/>
      <c r="V235" s="6" t="s">
        <v>424</v>
      </c>
    </row>
    <row r="236" spans="1:22" ht="15" customHeight="1" x14ac:dyDescent="0.2">
      <c r="A236" s="3"/>
      <c r="B236" s="3"/>
      <c r="C236" s="3"/>
      <c r="D236" s="14" t="s">
        <v>425</v>
      </c>
      <c r="E236" s="3"/>
      <c r="F236" s="14" t="s">
        <v>536</v>
      </c>
      <c r="G236" s="6" t="s">
        <v>537</v>
      </c>
      <c r="H236" s="14" t="s">
        <v>224</v>
      </c>
      <c r="I236" s="8" t="s">
        <v>419</v>
      </c>
      <c r="J236" s="14" t="s">
        <v>26</v>
      </c>
      <c r="K236" s="15">
        <v>28.11</v>
      </c>
      <c r="L236" s="15">
        <v>18.399999999999999</v>
      </c>
      <c r="M236" s="15">
        <v>5.48</v>
      </c>
      <c r="N236" s="15">
        <v>7.3</v>
      </c>
      <c r="O236" s="15">
        <v>11.8</v>
      </c>
      <c r="P236" s="15">
        <v>20.28</v>
      </c>
      <c r="Q236" s="15">
        <v>23</v>
      </c>
      <c r="R236" s="15">
        <v>119</v>
      </c>
      <c r="S236" s="15">
        <v>105</v>
      </c>
      <c r="T236" s="3"/>
      <c r="U236" s="3"/>
      <c r="V236" s="6" t="s">
        <v>424</v>
      </c>
    </row>
    <row r="237" spans="1:22" ht="15" customHeight="1" x14ac:dyDescent="0.2">
      <c r="A237" s="3"/>
      <c r="B237" s="3"/>
      <c r="C237" s="3"/>
      <c r="D237" s="14" t="s">
        <v>421</v>
      </c>
      <c r="E237" s="3"/>
      <c r="F237" s="14" t="s">
        <v>538</v>
      </c>
      <c r="G237" s="6" t="s">
        <v>539</v>
      </c>
      <c r="H237" s="14" t="s">
        <v>418</v>
      </c>
      <c r="I237" s="8" t="s">
        <v>419</v>
      </c>
      <c r="J237" s="14" t="s">
        <v>26</v>
      </c>
      <c r="K237" s="15">
        <v>26.59</v>
      </c>
      <c r="L237" s="15">
        <v>17.059999999999999</v>
      </c>
      <c r="M237" s="15">
        <v>5.3</v>
      </c>
      <c r="N237" s="15">
        <v>6.61</v>
      </c>
      <c r="O237" s="15">
        <v>11.52</v>
      </c>
      <c r="P237" s="15">
        <v>21.24</v>
      </c>
      <c r="Q237" s="15">
        <v>21</v>
      </c>
      <c r="R237" s="15">
        <v>109</v>
      </c>
      <c r="S237" s="15">
        <v>106</v>
      </c>
      <c r="T237" s="3"/>
      <c r="U237" s="3"/>
      <c r="V237" s="6" t="s">
        <v>424</v>
      </c>
    </row>
    <row r="238" spans="1:22" ht="15" customHeight="1" x14ac:dyDescent="0.2">
      <c r="A238" s="3"/>
      <c r="B238" s="3"/>
      <c r="C238" s="3"/>
      <c r="D238" s="14" t="s">
        <v>421</v>
      </c>
      <c r="E238" s="3"/>
      <c r="F238" s="14" t="s">
        <v>540</v>
      </c>
      <c r="G238" s="6" t="s">
        <v>524</v>
      </c>
      <c r="H238" s="14" t="s">
        <v>76</v>
      </c>
      <c r="I238" s="8" t="s">
        <v>419</v>
      </c>
      <c r="J238" s="14" t="s">
        <v>26</v>
      </c>
      <c r="K238" s="15">
        <v>28.43</v>
      </c>
      <c r="L238" s="15">
        <v>18.559999999999999</v>
      </c>
      <c r="M238" s="15">
        <v>5.62</v>
      </c>
      <c r="N238" s="15">
        <v>7.15</v>
      </c>
      <c r="O238" s="15">
        <v>11.68</v>
      </c>
      <c r="P238" s="15">
        <v>22.15</v>
      </c>
      <c r="Q238" s="15">
        <v>17</v>
      </c>
      <c r="R238" s="15">
        <v>117</v>
      </c>
      <c r="S238" s="15">
        <v>101</v>
      </c>
      <c r="T238" s="3"/>
      <c r="U238" s="3"/>
      <c r="V238" s="6" t="s">
        <v>424</v>
      </c>
    </row>
    <row r="239" spans="1:22" ht="15" customHeight="1" x14ac:dyDescent="0.2">
      <c r="A239" s="3"/>
      <c r="B239" s="3"/>
      <c r="C239" s="3"/>
      <c r="D239" s="14" t="s">
        <v>421</v>
      </c>
      <c r="E239" s="3"/>
      <c r="F239" s="14" t="s">
        <v>541</v>
      </c>
      <c r="G239" s="6" t="s">
        <v>436</v>
      </c>
      <c r="H239" s="14" t="s">
        <v>170</v>
      </c>
      <c r="I239" s="8" t="s">
        <v>419</v>
      </c>
      <c r="J239" s="14" t="s">
        <v>26</v>
      </c>
      <c r="K239" s="15">
        <v>27.95</v>
      </c>
      <c r="L239" s="15">
        <v>19.149999999999999</v>
      </c>
      <c r="M239" s="15">
        <v>5.19</v>
      </c>
      <c r="N239" s="15">
        <v>6.88</v>
      </c>
      <c r="O239" s="15">
        <v>12.21</v>
      </c>
      <c r="P239" s="15">
        <v>21.88</v>
      </c>
      <c r="Q239" s="15">
        <v>20</v>
      </c>
      <c r="R239" s="15">
        <v>117</v>
      </c>
      <c r="S239" s="15">
        <v>104</v>
      </c>
      <c r="T239" s="3"/>
      <c r="U239" s="3"/>
      <c r="V239" s="6" t="s">
        <v>424</v>
      </c>
    </row>
    <row r="240" spans="1:22" ht="15" customHeight="1" x14ac:dyDescent="0.2">
      <c r="A240" s="3"/>
      <c r="B240" s="3"/>
      <c r="C240" s="3"/>
      <c r="D240" s="14" t="s">
        <v>421</v>
      </c>
      <c r="E240" s="3"/>
      <c r="F240" s="17" t="s">
        <v>323</v>
      </c>
      <c r="G240" s="11" t="s">
        <v>141</v>
      </c>
      <c r="H240" s="14" t="s">
        <v>520</v>
      </c>
      <c r="I240" s="8" t="s">
        <v>419</v>
      </c>
      <c r="J240" s="3"/>
      <c r="K240" s="15">
        <v>25.47</v>
      </c>
      <c r="L240" s="15">
        <v>15.37</v>
      </c>
      <c r="M240" s="15">
        <v>4.87</v>
      </c>
      <c r="N240" s="15">
        <v>6.71</v>
      </c>
      <c r="O240" s="15">
        <v>10.5</v>
      </c>
      <c r="P240" s="15">
        <v>20.86</v>
      </c>
      <c r="Q240" s="15">
        <v>15</v>
      </c>
      <c r="R240" s="15">
        <v>115</v>
      </c>
      <c r="S240" s="15">
        <v>108</v>
      </c>
      <c r="T240" s="3"/>
      <c r="U240" s="3"/>
      <c r="V240" s="6" t="s">
        <v>424</v>
      </c>
    </row>
    <row r="241" spans="1:22" ht="15" customHeight="1" x14ac:dyDescent="0.2">
      <c r="A241" s="3"/>
      <c r="B241" s="3"/>
      <c r="C241" s="3"/>
      <c r="D241" s="14" t="s">
        <v>421</v>
      </c>
      <c r="E241" s="3"/>
      <c r="F241" s="18" t="s">
        <v>323</v>
      </c>
      <c r="G241" s="11" t="s">
        <v>141</v>
      </c>
      <c r="H241" s="14" t="s">
        <v>520</v>
      </c>
      <c r="I241" s="8" t="s">
        <v>419</v>
      </c>
      <c r="J241" s="3"/>
      <c r="K241" s="15">
        <v>28.83</v>
      </c>
      <c r="L241" s="15">
        <v>17.87</v>
      </c>
      <c r="M241" s="15">
        <v>6.06</v>
      </c>
      <c r="N241" s="15">
        <v>7.59</v>
      </c>
      <c r="O241" s="15">
        <v>12.96</v>
      </c>
      <c r="P241" s="15">
        <v>21.19</v>
      </c>
      <c r="Q241" s="15">
        <v>21</v>
      </c>
      <c r="R241" s="15">
        <v>118</v>
      </c>
      <c r="S241" s="15">
        <v>103</v>
      </c>
      <c r="T241" s="3"/>
      <c r="U241" s="3"/>
      <c r="V241" s="6" t="s">
        <v>424</v>
      </c>
    </row>
    <row r="242" spans="1:22" ht="15" customHeight="1" x14ac:dyDescent="0.2">
      <c r="A242" s="3"/>
      <c r="B242" s="3"/>
      <c r="C242" s="3"/>
      <c r="D242" s="14" t="s">
        <v>425</v>
      </c>
      <c r="E242" s="3"/>
      <c r="F242" s="19" t="s">
        <v>542</v>
      </c>
      <c r="G242" s="6" t="s">
        <v>543</v>
      </c>
      <c r="H242" s="14" t="s">
        <v>544</v>
      </c>
      <c r="I242" s="8" t="s">
        <v>419</v>
      </c>
      <c r="J242" s="20" t="s">
        <v>30</v>
      </c>
      <c r="K242" s="21" t="s">
        <v>685</v>
      </c>
      <c r="L242" s="19" t="s">
        <v>685</v>
      </c>
      <c r="M242" s="15">
        <v>6</v>
      </c>
      <c r="N242" s="15">
        <v>6.61</v>
      </c>
      <c r="O242" s="15">
        <v>11.68</v>
      </c>
      <c r="P242" s="15">
        <v>19.55</v>
      </c>
      <c r="Q242" s="15">
        <v>18</v>
      </c>
      <c r="R242" s="15">
        <v>109</v>
      </c>
      <c r="S242" s="15">
        <v>96</v>
      </c>
      <c r="T242" s="3"/>
      <c r="U242" s="3"/>
      <c r="V242" s="6" t="s">
        <v>424</v>
      </c>
    </row>
    <row r="243" spans="1:22" ht="15" customHeight="1" x14ac:dyDescent="0.2">
      <c r="A243" s="3"/>
      <c r="B243" s="3"/>
      <c r="C243" s="3"/>
      <c r="D243" s="14" t="s">
        <v>425</v>
      </c>
      <c r="E243" s="3"/>
      <c r="F243" s="19" t="s">
        <v>545</v>
      </c>
      <c r="G243" s="6" t="s">
        <v>546</v>
      </c>
      <c r="H243" s="14" t="s">
        <v>455</v>
      </c>
      <c r="I243" s="8" t="s">
        <v>419</v>
      </c>
      <c r="J243" s="20" t="s">
        <v>26</v>
      </c>
      <c r="K243" s="22">
        <v>28.39</v>
      </c>
      <c r="L243" s="23">
        <v>16.920000000000002</v>
      </c>
      <c r="M243" s="15">
        <v>5.86</v>
      </c>
      <c r="N243" s="15">
        <v>7.62</v>
      </c>
      <c r="O243" s="15">
        <v>11.71</v>
      </c>
      <c r="P243" s="15">
        <v>19.68</v>
      </c>
      <c r="Q243" s="15">
        <v>22</v>
      </c>
      <c r="R243" s="15">
        <v>117</v>
      </c>
      <c r="S243" s="15">
        <v>110</v>
      </c>
      <c r="T243" s="3"/>
      <c r="U243" s="3"/>
      <c r="V243" s="6" t="s">
        <v>424</v>
      </c>
    </row>
    <row r="244" spans="1:22" ht="15" customHeight="1" x14ac:dyDescent="0.2">
      <c r="A244" s="3"/>
      <c r="B244" s="3"/>
      <c r="C244" s="3"/>
      <c r="D244" s="14" t="s">
        <v>421</v>
      </c>
      <c r="E244" s="3"/>
      <c r="F244" s="19" t="s">
        <v>547</v>
      </c>
      <c r="G244" s="6" t="s">
        <v>548</v>
      </c>
      <c r="H244" s="14" t="s">
        <v>549</v>
      </c>
      <c r="I244" s="8" t="s">
        <v>419</v>
      </c>
      <c r="J244" s="20" t="s">
        <v>30</v>
      </c>
      <c r="K244" s="22">
        <v>30.15</v>
      </c>
      <c r="L244" s="23">
        <v>18.010000000000002</v>
      </c>
      <c r="M244" s="15">
        <v>6.18</v>
      </c>
      <c r="N244" s="15">
        <v>7.66</v>
      </c>
      <c r="O244" s="15">
        <v>13.12</v>
      </c>
      <c r="P244" s="15">
        <v>23.52</v>
      </c>
      <c r="Q244" s="15">
        <v>18</v>
      </c>
      <c r="R244" s="15">
        <v>122</v>
      </c>
      <c r="S244" s="15">
        <v>109</v>
      </c>
      <c r="T244" s="3"/>
      <c r="U244" s="3"/>
      <c r="V244" s="6" t="s">
        <v>424</v>
      </c>
    </row>
    <row r="245" spans="1:22" ht="15" customHeight="1" x14ac:dyDescent="0.2">
      <c r="A245" s="3"/>
      <c r="B245" s="3"/>
      <c r="C245" s="3"/>
      <c r="D245" s="14" t="s">
        <v>421</v>
      </c>
      <c r="E245" s="3"/>
      <c r="F245" s="19" t="s">
        <v>550</v>
      </c>
      <c r="G245" s="6" t="s">
        <v>551</v>
      </c>
      <c r="H245" s="14" t="s">
        <v>549</v>
      </c>
      <c r="I245" s="8" t="s">
        <v>419</v>
      </c>
      <c r="J245" s="20" t="s">
        <v>26</v>
      </c>
      <c r="K245" s="22">
        <v>32.229999999999997</v>
      </c>
      <c r="L245" s="23">
        <v>19.63</v>
      </c>
      <c r="M245" s="15">
        <v>6.46</v>
      </c>
      <c r="N245" s="15">
        <v>8.82</v>
      </c>
      <c r="O245" s="15">
        <v>12.38</v>
      </c>
      <c r="P245" s="15">
        <v>23.56</v>
      </c>
      <c r="Q245" s="15">
        <v>25</v>
      </c>
      <c r="R245" s="15">
        <v>134</v>
      </c>
      <c r="S245" s="15">
        <v>113</v>
      </c>
      <c r="T245" s="3"/>
      <c r="U245" s="3"/>
      <c r="V245" s="6" t="s">
        <v>424</v>
      </c>
    </row>
    <row r="246" spans="1:22" ht="15" customHeight="1" x14ac:dyDescent="0.2">
      <c r="A246" s="3"/>
      <c r="B246" s="3"/>
      <c r="C246" s="3"/>
      <c r="D246" s="14" t="s">
        <v>421</v>
      </c>
      <c r="E246" s="3"/>
      <c r="F246" s="19" t="s">
        <v>552</v>
      </c>
      <c r="G246" s="6" t="s">
        <v>551</v>
      </c>
      <c r="H246" s="14" t="s">
        <v>549</v>
      </c>
      <c r="I246" s="8" t="s">
        <v>419</v>
      </c>
      <c r="J246" s="20" t="s">
        <v>30</v>
      </c>
      <c r="K246" s="22">
        <v>30.35</v>
      </c>
      <c r="L246" s="23">
        <v>17.79</v>
      </c>
      <c r="M246" s="15">
        <v>6.65</v>
      </c>
      <c r="N246" s="15">
        <v>8.56</v>
      </c>
      <c r="O246" s="15">
        <v>13.42</v>
      </c>
      <c r="P246" s="15">
        <v>23.12</v>
      </c>
      <c r="Q246" s="15">
        <v>21</v>
      </c>
      <c r="R246" s="15">
        <v>121</v>
      </c>
      <c r="S246" s="15">
        <v>100</v>
      </c>
      <c r="T246" s="3"/>
      <c r="U246" s="3"/>
      <c r="V246" s="6" t="s">
        <v>424</v>
      </c>
    </row>
    <row r="247" spans="1:22" ht="15" customHeight="1" x14ac:dyDescent="0.2">
      <c r="A247" s="3"/>
      <c r="B247" s="3"/>
      <c r="C247" s="3"/>
      <c r="D247" s="14" t="s">
        <v>421</v>
      </c>
      <c r="E247" s="3"/>
      <c r="F247" s="19" t="s">
        <v>553</v>
      </c>
      <c r="G247" s="6" t="s">
        <v>510</v>
      </c>
      <c r="H247" s="14" t="s">
        <v>418</v>
      </c>
      <c r="I247" s="8" t="s">
        <v>419</v>
      </c>
      <c r="J247" s="20" t="s">
        <v>26</v>
      </c>
      <c r="K247" s="22">
        <v>27.72</v>
      </c>
      <c r="L247" s="23">
        <v>16.62</v>
      </c>
      <c r="M247" s="15">
        <v>5.78</v>
      </c>
      <c r="N247" s="15">
        <v>7.16</v>
      </c>
      <c r="O247" s="15">
        <v>11.08</v>
      </c>
      <c r="P247" s="15">
        <v>20.88</v>
      </c>
      <c r="Q247" s="15">
        <v>18</v>
      </c>
      <c r="R247" s="15">
        <v>117</v>
      </c>
      <c r="S247" s="15">
        <v>100</v>
      </c>
      <c r="T247" s="3"/>
      <c r="U247" s="3"/>
      <c r="V247" s="6" t="s">
        <v>424</v>
      </c>
    </row>
    <row r="248" spans="1:22" ht="15" customHeight="1" x14ac:dyDescent="0.2">
      <c r="A248" s="3"/>
      <c r="B248" s="3"/>
      <c r="C248" s="3"/>
      <c r="D248" s="14" t="s">
        <v>421</v>
      </c>
      <c r="E248" s="3"/>
      <c r="F248" s="19" t="s">
        <v>554</v>
      </c>
      <c r="G248" s="6" t="s">
        <v>555</v>
      </c>
      <c r="H248" s="14" t="s">
        <v>418</v>
      </c>
      <c r="I248" s="8" t="s">
        <v>419</v>
      </c>
      <c r="J248" s="20" t="s">
        <v>26</v>
      </c>
      <c r="K248" s="21" t="s">
        <v>685</v>
      </c>
      <c r="L248" s="19" t="s">
        <v>685</v>
      </c>
      <c r="M248" s="15">
        <v>5.4</v>
      </c>
      <c r="N248" s="15">
        <v>7.28</v>
      </c>
      <c r="O248" s="15">
        <v>11.95</v>
      </c>
      <c r="P248" s="15">
        <v>21.06</v>
      </c>
      <c r="Q248" s="15">
        <v>22</v>
      </c>
      <c r="R248" s="15">
        <v>124</v>
      </c>
      <c r="S248" s="15">
        <v>111</v>
      </c>
      <c r="T248" s="3"/>
      <c r="U248" s="3"/>
      <c r="V248" s="6" t="s">
        <v>424</v>
      </c>
    </row>
    <row r="249" spans="1:22" ht="15" customHeight="1" x14ac:dyDescent="0.2">
      <c r="A249" s="3"/>
      <c r="B249" s="3"/>
      <c r="C249" s="3"/>
      <c r="D249" s="14" t="s">
        <v>421</v>
      </c>
      <c r="E249" s="3"/>
      <c r="F249" s="19" t="s">
        <v>556</v>
      </c>
      <c r="G249" s="6" t="s">
        <v>557</v>
      </c>
      <c r="H249" s="14" t="s">
        <v>558</v>
      </c>
      <c r="I249" s="8" t="s">
        <v>419</v>
      </c>
      <c r="J249" s="20" t="s">
        <v>26</v>
      </c>
      <c r="K249" s="22">
        <v>29.93</v>
      </c>
      <c r="L249" s="23">
        <v>17.39</v>
      </c>
      <c r="M249" s="15">
        <v>6.54</v>
      </c>
      <c r="N249" s="15">
        <v>8.0299999999999994</v>
      </c>
      <c r="O249" s="15">
        <v>12.03</v>
      </c>
      <c r="P249" s="15">
        <v>25.66</v>
      </c>
      <c r="Q249" s="15">
        <v>23</v>
      </c>
      <c r="R249" s="15">
        <v>129</v>
      </c>
      <c r="S249" s="15">
        <v>110</v>
      </c>
      <c r="T249" s="3"/>
      <c r="U249" s="3"/>
      <c r="V249" s="6" t="s">
        <v>424</v>
      </c>
    </row>
    <row r="250" spans="1:22" ht="15" customHeight="1" x14ac:dyDescent="0.2">
      <c r="A250" s="3"/>
      <c r="B250" s="3"/>
      <c r="C250" s="3"/>
      <c r="D250" s="14" t="s">
        <v>421</v>
      </c>
      <c r="E250" s="3"/>
      <c r="F250" s="19" t="s">
        <v>559</v>
      </c>
      <c r="G250" s="6" t="s">
        <v>560</v>
      </c>
      <c r="H250" s="14" t="s">
        <v>520</v>
      </c>
      <c r="I250" s="8" t="s">
        <v>419</v>
      </c>
      <c r="J250" s="20" t="s">
        <v>26</v>
      </c>
      <c r="K250" s="22">
        <v>27.46</v>
      </c>
      <c r="L250" s="23">
        <v>17.579999999999998</v>
      </c>
      <c r="M250" s="15">
        <v>5.5</v>
      </c>
      <c r="N250" s="15">
        <v>7.35</v>
      </c>
      <c r="O250" s="15">
        <v>11.44</v>
      </c>
      <c r="P250" s="15">
        <v>19.399999999999999</v>
      </c>
      <c r="Q250" s="15">
        <v>24</v>
      </c>
      <c r="R250" s="15">
        <v>122</v>
      </c>
      <c r="S250" s="15">
        <v>107</v>
      </c>
      <c r="T250" s="3"/>
      <c r="U250" s="3"/>
      <c r="V250" s="6" t="s">
        <v>424</v>
      </c>
    </row>
    <row r="251" spans="1:22" ht="15" customHeight="1" x14ac:dyDescent="0.2">
      <c r="A251" s="3"/>
      <c r="B251" s="3"/>
      <c r="C251" s="3"/>
      <c r="D251" s="14" t="s">
        <v>421</v>
      </c>
      <c r="E251" s="3"/>
      <c r="F251" s="19" t="s">
        <v>561</v>
      </c>
      <c r="G251" s="12" t="s">
        <v>417</v>
      </c>
      <c r="H251" s="14" t="s">
        <v>418</v>
      </c>
      <c r="I251" s="8" t="s">
        <v>419</v>
      </c>
      <c r="J251" s="20" t="s">
        <v>26</v>
      </c>
      <c r="K251" s="22">
        <v>26.69</v>
      </c>
      <c r="L251" s="23">
        <v>16.829999999999998</v>
      </c>
      <c r="M251" s="15">
        <v>5</v>
      </c>
      <c r="N251" s="15">
        <v>6.69</v>
      </c>
      <c r="O251" s="15">
        <v>11.04</v>
      </c>
      <c r="P251" s="15">
        <v>20.63</v>
      </c>
      <c r="Q251" s="15">
        <v>23</v>
      </c>
      <c r="R251" s="15">
        <v>120</v>
      </c>
      <c r="S251" s="15">
        <v>103</v>
      </c>
      <c r="T251" s="3"/>
      <c r="U251" s="3"/>
      <c r="V251" s="6" t="s">
        <v>424</v>
      </c>
    </row>
    <row r="252" spans="1:22" ht="15" customHeight="1" x14ac:dyDescent="0.2">
      <c r="A252" s="24"/>
      <c r="B252" s="22"/>
      <c r="C252" s="23"/>
      <c r="D252" s="14" t="s">
        <v>421</v>
      </c>
      <c r="E252" s="24"/>
      <c r="F252" s="19" t="s">
        <v>562</v>
      </c>
      <c r="G252" s="14" t="s">
        <v>563</v>
      </c>
      <c r="H252" s="14" t="s">
        <v>558</v>
      </c>
      <c r="I252" s="25" t="s">
        <v>419</v>
      </c>
      <c r="J252" s="20" t="s">
        <v>26</v>
      </c>
      <c r="K252" s="22">
        <v>30.86</v>
      </c>
      <c r="L252" s="23">
        <v>18.059999999999999</v>
      </c>
      <c r="M252" s="15">
        <v>6.15</v>
      </c>
      <c r="N252" s="15">
        <v>8.66</v>
      </c>
      <c r="O252" s="15">
        <v>13.18</v>
      </c>
      <c r="P252" s="15">
        <v>24.04</v>
      </c>
      <c r="Q252" s="15">
        <v>21</v>
      </c>
      <c r="R252" s="15">
        <v>130</v>
      </c>
      <c r="S252" s="15">
        <v>114</v>
      </c>
      <c r="T252" s="24"/>
      <c r="U252" s="23"/>
      <c r="V252" s="6" t="s">
        <v>424</v>
      </c>
    </row>
    <row r="253" spans="1:22" ht="15" customHeight="1" x14ac:dyDescent="0.2">
      <c r="A253" s="3"/>
      <c r="B253" s="3"/>
      <c r="C253" s="3"/>
      <c r="D253" s="14" t="s">
        <v>683</v>
      </c>
      <c r="E253" s="3"/>
      <c r="F253" s="19" t="s">
        <v>564</v>
      </c>
      <c r="G253" s="26" t="s">
        <v>565</v>
      </c>
      <c r="H253" s="14" t="s">
        <v>566</v>
      </c>
      <c r="I253" s="8" t="s">
        <v>419</v>
      </c>
      <c r="J253" s="20" t="s">
        <v>30</v>
      </c>
      <c r="K253" s="22">
        <v>18.2</v>
      </c>
      <c r="L253" s="23">
        <v>11.4</v>
      </c>
      <c r="M253" s="15">
        <v>4.66</v>
      </c>
      <c r="N253" s="15">
        <v>4.8600000000000003</v>
      </c>
      <c r="O253" s="15">
        <v>9.85</v>
      </c>
      <c r="P253" s="15">
        <v>17.91</v>
      </c>
      <c r="Q253" s="15">
        <v>10</v>
      </c>
      <c r="R253" s="15">
        <v>82</v>
      </c>
      <c r="S253" s="15">
        <v>80</v>
      </c>
      <c r="T253" s="3"/>
      <c r="U253" s="3"/>
      <c r="V253" s="6" t="s">
        <v>424</v>
      </c>
    </row>
    <row r="254" spans="1:22" ht="15" customHeight="1" x14ac:dyDescent="0.2">
      <c r="A254" s="3"/>
      <c r="B254" s="3"/>
      <c r="C254" s="3"/>
      <c r="D254" s="14" t="s">
        <v>683</v>
      </c>
      <c r="E254" s="3"/>
      <c r="F254" s="19" t="s">
        <v>567</v>
      </c>
      <c r="G254" s="11" t="s">
        <v>141</v>
      </c>
      <c r="H254" s="14" t="s">
        <v>568</v>
      </c>
      <c r="I254" s="8" t="s">
        <v>419</v>
      </c>
      <c r="J254" s="20" t="s">
        <v>26</v>
      </c>
      <c r="K254" s="22">
        <v>18.03</v>
      </c>
      <c r="L254" s="23">
        <v>10.95</v>
      </c>
      <c r="M254" s="15">
        <v>4.8099999999999996</v>
      </c>
      <c r="N254" s="15">
        <v>5.18</v>
      </c>
      <c r="O254" s="15">
        <v>8.1199999999999992</v>
      </c>
      <c r="P254" s="15">
        <v>17.510000000000002</v>
      </c>
      <c r="Q254" s="15">
        <v>14</v>
      </c>
      <c r="R254" s="15">
        <v>87</v>
      </c>
      <c r="S254" s="15">
        <v>77</v>
      </c>
      <c r="T254" s="3"/>
      <c r="U254" s="3"/>
      <c r="V254" s="6" t="s">
        <v>424</v>
      </c>
    </row>
    <row r="255" spans="1:22" ht="15" customHeight="1" x14ac:dyDescent="0.2">
      <c r="A255" s="3"/>
      <c r="B255" s="3"/>
      <c r="C255" s="3"/>
      <c r="D255" s="14" t="s">
        <v>683</v>
      </c>
      <c r="E255" s="3"/>
      <c r="F255" s="19" t="s">
        <v>569</v>
      </c>
      <c r="G255" s="6" t="s">
        <v>570</v>
      </c>
      <c r="H255" s="14" t="s">
        <v>571</v>
      </c>
      <c r="I255" s="8" t="s">
        <v>419</v>
      </c>
      <c r="J255" s="20" t="s">
        <v>26</v>
      </c>
      <c r="K255" s="22">
        <v>19.82</v>
      </c>
      <c r="L255" s="23">
        <v>11.9</v>
      </c>
      <c r="M255" s="15">
        <v>4.75</v>
      </c>
      <c r="N255" s="15">
        <v>5.13</v>
      </c>
      <c r="O255" s="15">
        <v>9.34</v>
      </c>
      <c r="P255" s="15">
        <v>17.43</v>
      </c>
      <c r="Q255" s="15">
        <v>15</v>
      </c>
      <c r="R255" s="15">
        <v>87</v>
      </c>
      <c r="S255" s="15">
        <v>76</v>
      </c>
      <c r="T255" s="3"/>
      <c r="U255" s="3"/>
      <c r="V255" s="6" t="s">
        <v>424</v>
      </c>
    </row>
    <row r="256" spans="1:22" ht="15" customHeight="1" x14ac:dyDescent="0.2">
      <c r="A256" s="3"/>
      <c r="B256" s="3"/>
      <c r="C256" s="3"/>
      <c r="D256" s="14" t="s">
        <v>683</v>
      </c>
      <c r="E256" s="3"/>
      <c r="F256" s="19" t="s">
        <v>572</v>
      </c>
      <c r="G256" s="6" t="s">
        <v>573</v>
      </c>
      <c r="H256" s="14" t="s">
        <v>574</v>
      </c>
      <c r="I256" s="8" t="s">
        <v>419</v>
      </c>
      <c r="J256" s="20" t="s">
        <v>26</v>
      </c>
      <c r="K256" s="22">
        <v>19.16</v>
      </c>
      <c r="L256" s="23">
        <v>11.87</v>
      </c>
      <c r="M256" s="15">
        <v>4.5599999999999996</v>
      </c>
      <c r="N256" s="15">
        <v>5.33</v>
      </c>
      <c r="O256" s="15">
        <v>9.0299999999999994</v>
      </c>
      <c r="P256" s="15">
        <v>18.27</v>
      </c>
      <c r="Q256" s="15">
        <v>12</v>
      </c>
      <c r="R256" s="15">
        <v>84</v>
      </c>
      <c r="S256" s="15">
        <v>70</v>
      </c>
      <c r="T256" s="3"/>
      <c r="U256" s="3"/>
      <c r="V256" s="6" t="s">
        <v>424</v>
      </c>
    </row>
    <row r="257" spans="1:22" ht="15" customHeight="1" x14ac:dyDescent="0.2">
      <c r="A257" s="3"/>
      <c r="B257" s="3"/>
      <c r="C257" s="3"/>
      <c r="D257" s="14" t="s">
        <v>683</v>
      </c>
      <c r="E257" s="3"/>
      <c r="F257" s="19" t="s">
        <v>575</v>
      </c>
      <c r="G257" s="6" t="s">
        <v>576</v>
      </c>
      <c r="H257" s="14" t="s">
        <v>577</v>
      </c>
      <c r="I257" s="8" t="s">
        <v>419</v>
      </c>
      <c r="J257" s="20" t="s">
        <v>30</v>
      </c>
      <c r="K257" s="22">
        <v>19.36</v>
      </c>
      <c r="L257" s="23">
        <v>11.51</v>
      </c>
      <c r="M257" s="15">
        <v>4.96</v>
      </c>
      <c r="N257" s="15">
        <v>4.96</v>
      </c>
      <c r="O257" s="15">
        <v>9.25</v>
      </c>
      <c r="P257" s="15">
        <v>19.399999999999999</v>
      </c>
      <c r="Q257" s="15">
        <v>12</v>
      </c>
      <c r="R257" s="15">
        <v>87</v>
      </c>
      <c r="S257" s="15">
        <v>75</v>
      </c>
      <c r="T257" s="3"/>
      <c r="U257" s="3"/>
      <c r="V257" s="6" t="s">
        <v>424</v>
      </c>
    </row>
    <row r="258" spans="1:22" ht="15" customHeight="1" x14ac:dyDescent="0.2">
      <c r="A258" s="3"/>
      <c r="B258" s="3"/>
      <c r="C258" s="3"/>
      <c r="D258" s="14" t="s">
        <v>683</v>
      </c>
      <c r="E258" s="3"/>
      <c r="F258" s="19" t="s">
        <v>578</v>
      </c>
      <c r="G258" s="6" t="s">
        <v>579</v>
      </c>
      <c r="H258" s="14" t="s">
        <v>580</v>
      </c>
      <c r="I258" s="8" t="s">
        <v>419</v>
      </c>
      <c r="J258" s="20" t="s">
        <v>26</v>
      </c>
      <c r="K258" s="21" t="s">
        <v>685</v>
      </c>
      <c r="L258" s="21" t="s">
        <v>685</v>
      </c>
      <c r="M258" s="19" t="s">
        <v>685</v>
      </c>
      <c r="N258" s="15">
        <v>4.2</v>
      </c>
      <c r="O258" s="15">
        <v>9.18</v>
      </c>
      <c r="P258" s="15">
        <v>19.62</v>
      </c>
      <c r="Q258" s="15">
        <v>16</v>
      </c>
      <c r="R258" s="15">
        <v>90</v>
      </c>
      <c r="S258" s="15">
        <v>79</v>
      </c>
      <c r="T258" s="3"/>
      <c r="U258" s="3"/>
      <c r="V258" s="6" t="s">
        <v>424</v>
      </c>
    </row>
    <row r="259" spans="1:22" ht="15" customHeight="1" x14ac:dyDescent="0.2">
      <c r="A259" s="3"/>
      <c r="B259" s="3"/>
      <c r="C259" s="3"/>
      <c r="D259" s="14" t="s">
        <v>683</v>
      </c>
      <c r="E259" s="3"/>
      <c r="F259" s="19" t="s">
        <v>581</v>
      </c>
      <c r="G259" s="6" t="s">
        <v>582</v>
      </c>
      <c r="H259" s="14" t="s">
        <v>577</v>
      </c>
      <c r="I259" s="8" t="s">
        <v>419</v>
      </c>
      <c r="J259" s="20" t="s">
        <v>26</v>
      </c>
      <c r="K259" s="22">
        <v>18.309999999999999</v>
      </c>
      <c r="L259" s="22">
        <v>12.42</v>
      </c>
      <c r="M259" s="23">
        <v>5.29</v>
      </c>
      <c r="N259" s="15">
        <v>5.3</v>
      </c>
      <c r="O259" s="15">
        <v>9.44</v>
      </c>
      <c r="P259" s="15">
        <v>18.350000000000001</v>
      </c>
      <c r="Q259" s="15">
        <v>14</v>
      </c>
      <c r="R259" s="15">
        <v>87</v>
      </c>
      <c r="S259" s="15">
        <v>80</v>
      </c>
      <c r="T259" s="3"/>
      <c r="U259" s="3"/>
      <c r="V259" s="6" t="s">
        <v>424</v>
      </c>
    </row>
    <row r="260" spans="1:22" ht="15" customHeight="1" x14ac:dyDescent="0.2">
      <c r="A260" s="3"/>
      <c r="B260" s="3"/>
      <c r="C260" s="3"/>
      <c r="D260" s="14" t="s">
        <v>683</v>
      </c>
      <c r="E260" s="3"/>
      <c r="F260" s="19" t="s">
        <v>583</v>
      </c>
      <c r="G260" s="6" t="s">
        <v>584</v>
      </c>
      <c r="H260" s="14" t="s">
        <v>571</v>
      </c>
      <c r="I260" s="8" t="s">
        <v>419</v>
      </c>
      <c r="J260" s="20" t="s">
        <v>26</v>
      </c>
      <c r="K260" s="22">
        <v>18.86</v>
      </c>
      <c r="L260" s="22">
        <v>11.04</v>
      </c>
      <c r="M260" s="23">
        <v>4.46</v>
      </c>
      <c r="N260" s="15">
        <v>5.04</v>
      </c>
      <c r="O260" s="15">
        <v>9.11</v>
      </c>
      <c r="P260" s="15">
        <v>17.600000000000001</v>
      </c>
      <c r="Q260" s="15">
        <v>14</v>
      </c>
      <c r="R260" s="15">
        <v>85</v>
      </c>
      <c r="S260" s="15">
        <v>76</v>
      </c>
      <c r="T260" s="3"/>
      <c r="U260" s="3"/>
      <c r="V260" s="6" t="s">
        <v>424</v>
      </c>
    </row>
    <row r="261" spans="1:22" ht="15" customHeight="1" x14ac:dyDescent="0.2">
      <c r="A261" s="3"/>
      <c r="B261" s="3"/>
      <c r="C261" s="3"/>
      <c r="D261" s="14" t="s">
        <v>683</v>
      </c>
      <c r="E261" s="3"/>
      <c r="F261" s="19" t="s">
        <v>585</v>
      </c>
      <c r="G261" s="6" t="s">
        <v>586</v>
      </c>
      <c r="H261" s="14" t="s">
        <v>587</v>
      </c>
      <c r="I261" s="8" t="s">
        <v>419</v>
      </c>
      <c r="J261" s="20" t="s">
        <v>26</v>
      </c>
      <c r="K261" s="22">
        <v>17.88</v>
      </c>
      <c r="L261" s="22">
        <v>11.15</v>
      </c>
      <c r="M261" s="23">
        <v>4.6500000000000004</v>
      </c>
      <c r="N261" s="15">
        <v>5.36</v>
      </c>
      <c r="O261" s="15">
        <v>9.7200000000000006</v>
      </c>
      <c r="P261" s="14" t="s">
        <v>125</v>
      </c>
      <c r="Q261" s="15">
        <v>11</v>
      </c>
      <c r="R261" s="15">
        <v>86</v>
      </c>
      <c r="S261" s="15">
        <v>81</v>
      </c>
      <c r="T261" s="3"/>
      <c r="U261" s="3"/>
      <c r="V261" s="6" t="s">
        <v>424</v>
      </c>
    </row>
    <row r="262" spans="1:22" ht="15" customHeight="1" x14ac:dyDescent="0.2">
      <c r="A262" s="3"/>
      <c r="B262" s="3"/>
      <c r="C262" s="3"/>
      <c r="D262" s="14" t="s">
        <v>683</v>
      </c>
      <c r="E262" s="3"/>
      <c r="F262" s="19" t="s">
        <v>588</v>
      </c>
      <c r="G262" s="6" t="s">
        <v>589</v>
      </c>
      <c r="H262" s="14" t="s">
        <v>580</v>
      </c>
      <c r="I262" s="8" t="s">
        <v>419</v>
      </c>
      <c r="J262" s="20" t="s">
        <v>30</v>
      </c>
      <c r="K262" s="22">
        <v>17.559999999999999</v>
      </c>
      <c r="L262" s="22">
        <v>10.88</v>
      </c>
      <c r="M262" s="23">
        <v>4.8</v>
      </c>
      <c r="N262" s="15">
        <v>5.04</v>
      </c>
      <c r="O262" s="15">
        <v>9.24</v>
      </c>
      <c r="P262" s="15">
        <v>18.86</v>
      </c>
      <c r="Q262" s="15">
        <v>12</v>
      </c>
      <c r="R262" s="15">
        <v>87</v>
      </c>
      <c r="S262" s="15">
        <v>80</v>
      </c>
      <c r="T262" s="3"/>
      <c r="U262" s="3"/>
      <c r="V262" s="6" t="s">
        <v>424</v>
      </c>
    </row>
    <row r="263" spans="1:22" ht="15" customHeight="1" x14ac:dyDescent="0.2">
      <c r="A263" s="3"/>
      <c r="B263" s="3"/>
      <c r="C263" s="3"/>
      <c r="D263" s="14" t="s">
        <v>683</v>
      </c>
      <c r="E263" s="3"/>
      <c r="F263" s="19" t="s">
        <v>590</v>
      </c>
      <c r="G263" s="6" t="s">
        <v>591</v>
      </c>
      <c r="H263" s="14" t="s">
        <v>592</v>
      </c>
      <c r="I263" s="8" t="s">
        <v>419</v>
      </c>
      <c r="J263" s="20" t="s">
        <v>26</v>
      </c>
      <c r="K263" s="22">
        <v>20.68</v>
      </c>
      <c r="L263" s="22">
        <v>12.79</v>
      </c>
      <c r="M263" s="23">
        <v>4.4000000000000004</v>
      </c>
      <c r="N263" s="15">
        <v>5.86</v>
      </c>
      <c r="O263" s="15">
        <v>9.4499999999999993</v>
      </c>
      <c r="P263" s="15">
        <v>19.239999999999998</v>
      </c>
      <c r="Q263" s="15">
        <v>13</v>
      </c>
      <c r="R263" s="15">
        <v>88</v>
      </c>
      <c r="S263" s="15">
        <v>79</v>
      </c>
      <c r="T263" s="3"/>
      <c r="U263" s="3"/>
      <c r="V263" s="6" t="s">
        <v>424</v>
      </c>
    </row>
    <row r="264" spans="1:22" ht="15" customHeight="1" x14ac:dyDescent="0.2">
      <c r="A264" s="3"/>
      <c r="B264" s="3"/>
      <c r="C264" s="3"/>
      <c r="D264" s="14" t="s">
        <v>683</v>
      </c>
      <c r="E264" s="3"/>
      <c r="F264" s="19" t="s">
        <v>593</v>
      </c>
      <c r="G264" s="6" t="s">
        <v>594</v>
      </c>
      <c r="H264" s="14" t="s">
        <v>568</v>
      </c>
      <c r="I264" s="8" t="s">
        <v>419</v>
      </c>
      <c r="J264" s="20" t="s">
        <v>30</v>
      </c>
      <c r="K264" s="22">
        <v>18.899999999999999</v>
      </c>
      <c r="L264" s="22">
        <v>11.56</v>
      </c>
      <c r="M264" s="23">
        <v>4.92</v>
      </c>
      <c r="N264" s="15">
        <v>5.34</v>
      </c>
      <c r="O264" s="15">
        <v>9.83</v>
      </c>
      <c r="P264" s="15">
        <v>19.27</v>
      </c>
      <c r="Q264" s="15">
        <v>14</v>
      </c>
      <c r="R264" s="15">
        <v>85</v>
      </c>
      <c r="S264" s="15">
        <v>75</v>
      </c>
      <c r="T264" s="3"/>
      <c r="U264" s="3"/>
      <c r="V264" s="6" t="s">
        <v>424</v>
      </c>
    </row>
    <row r="265" spans="1:22" ht="15" customHeight="1" x14ac:dyDescent="0.2">
      <c r="A265" s="3"/>
      <c r="B265" s="3"/>
      <c r="C265" s="3"/>
      <c r="D265" s="14" t="s">
        <v>683</v>
      </c>
      <c r="E265" s="3"/>
      <c r="F265" s="19" t="s">
        <v>595</v>
      </c>
      <c r="G265" s="6" t="s">
        <v>596</v>
      </c>
      <c r="H265" s="14" t="s">
        <v>574</v>
      </c>
      <c r="I265" s="8" t="s">
        <v>419</v>
      </c>
      <c r="J265" s="20" t="s">
        <v>30</v>
      </c>
      <c r="K265" s="22">
        <v>18.95</v>
      </c>
      <c r="L265" s="22">
        <v>11.76</v>
      </c>
      <c r="M265" s="23">
        <v>4.8499999999999996</v>
      </c>
      <c r="N265" s="15">
        <v>5.24</v>
      </c>
      <c r="O265" s="15">
        <v>9.73</v>
      </c>
      <c r="P265" s="15">
        <v>20.07</v>
      </c>
      <c r="Q265" s="15">
        <v>14</v>
      </c>
      <c r="R265" s="15">
        <v>84</v>
      </c>
      <c r="S265" s="15">
        <v>76</v>
      </c>
      <c r="T265" s="3"/>
      <c r="U265" s="3"/>
      <c r="V265" s="6" t="s">
        <v>424</v>
      </c>
    </row>
    <row r="266" spans="1:22" ht="15" customHeight="1" x14ac:dyDescent="0.2">
      <c r="A266" s="3"/>
      <c r="B266" s="3"/>
      <c r="C266" s="3"/>
      <c r="D266" s="14" t="s">
        <v>683</v>
      </c>
      <c r="E266" s="3"/>
      <c r="F266" s="19" t="s">
        <v>597</v>
      </c>
      <c r="G266" s="6" t="s">
        <v>533</v>
      </c>
      <c r="H266" s="14" t="s">
        <v>598</v>
      </c>
      <c r="I266" s="8" t="s">
        <v>419</v>
      </c>
      <c r="J266" s="20" t="s">
        <v>26</v>
      </c>
      <c r="K266" s="22">
        <v>18.649999999999999</v>
      </c>
      <c r="L266" s="22">
        <v>12.92</v>
      </c>
      <c r="M266" s="23">
        <v>5.28</v>
      </c>
      <c r="N266" s="15">
        <v>5.48</v>
      </c>
      <c r="O266" s="15">
        <v>9.76</v>
      </c>
      <c r="P266" s="15">
        <v>18.23</v>
      </c>
      <c r="Q266" s="15">
        <v>12</v>
      </c>
      <c r="R266" s="15">
        <v>86</v>
      </c>
      <c r="S266" s="15">
        <v>74</v>
      </c>
      <c r="T266" s="3"/>
      <c r="U266" s="3"/>
      <c r="V266" s="6" t="s">
        <v>424</v>
      </c>
    </row>
    <row r="267" spans="1:22" ht="15" customHeight="1" x14ac:dyDescent="0.2">
      <c r="A267" s="3"/>
      <c r="B267" s="3"/>
      <c r="C267" s="3"/>
      <c r="D267" s="14" t="s">
        <v>683</v>
      </c>
      <c r="E267" s="3"/>
      <c r="F267" s="19" t="s">
        <v>599</v>
      </c>
      <c r="G267" s="6" t="s">
        <v>600</v>
      </c>
      <c r="H267" s="14" t="s">
        <v>568</v>
      </c>
      <c r="I267" s="8" t="s">
        <v>419</v>
      </c>
      <c r="J267" s="20" t="s">
        <v>30</v>
      </c>
      <c r="K267" s="22">
        <v>20.100000000000001</v>
      </c>
      <c r="L267" s="22">
        <v>12.16</v>
      </c>
      <c r="M267" s="23">
        <v>4.38</v>
      </c>
      <c r="N267" s="15">
        <v>5.25</v>
      </c>
      <c r="O267" s="15">
        <v>9.31</v>
      </c>
      <c r="P267" s="15">
        <v>18.690000000000001</v>
      </c>
      <c r="Q267" s="15">
        <v>16</v>
      </c>
      <c r="R267" s="15">
        <v>85</v>
      </c>
      <c r="S267" s="15">
        <v>76</v>
      </c>
      <c r="T267" s="3"/>
      <c r="U267" s="3"/>
      <c r="V267" s="6" t="s">
        <v>424</v>
      </c>
    </row>
    <row r="268" spans="1:22" ht="15" customHeight="1" x14ac:dyDescent="0.2">
      <c r="A268" s="3"/>
      <c r="B268" s="3"/>
      <c r="C268" s="3"/>
      <c r="D268" s="14" t="s">
        <v>683</v>
      </c>
      <c r="E268" s="3"/>
      <c r="F268" s="19" t="s">
        <v>601</v>
      </c>
      <c r="G268" s="6" t="s">
        <v>602</v>
      </c>
      <c r="H268" s="14" t="s">
        <v>574</v>
      </c>
      <c r="I268" s="8" t="s">
        <v>419</v>
      </c>
      <c r="J268" s="20" t="s">
        <v>26</v>
      </c>
      <c r="K268" s="22">
        <v>21.35</v>
      </c>
      <c r="L268" s="22">
        <v>12.81</v>
      </c>
      <c r="M268" s="23">
        <v>4.6100000000000003</v>
      </c>
      <c r="N268" s="15">
        <v>5.85</v>
      </c>
      <c r="O268" s="15">
        <v>9.1</v>
      </c>
      <c r="P268" s="15">
        <v>19.02</v>
      </c>
      <c r="Q268" s="15">
        <v>18</v>
      </c>
      <c r="R268" s="15">
        <v>85</v>
      </c>
      <c r="S268" s="15">
        <v>75</v>
      </c>
      <c r="T268" s="3"/>
      <c r="U268" s="3"/>
      <c r="V268" s="6" t="s">
        <v>424</v>
      </c>
    </row>
    <row r="269" spans="1:22" ht="15" customHeight="1" x14ac:dyDescent="0.2">
      <c r="A269" s="3"/>
      <c r="B269" s="3"/>
      <c r="C269" s="3"/>
      <c r="D269" s="14" t="s">
        <v>683</v>
      </c>
      <c r="E269" s="3"/>
      <c r="F269" s="19" t="s">
        <v>603</v>
      </c>
      <c r="G269" s="6" t="s">
        <v>604</v>
      </c>
      <c r="H269" s="14" t="s">
        <v>605</v>
      </c>
      <c r="I269" s="8" t="s">
        <v>419</v>
      </c>
      <c r="J269" s="20" t="s">
        <v>26</v>
      </c>
      <c r="K269" s="22">
        <v>19.2</v>
      </c>
      <c r="L269" s="22">
        <v>11.81</v>
      </c>
      <c r="M269" s="23">
        <v>4.9400000000000004</v>
      </c>
      <c r="N269" s="15">
        <v>5.16</v>
      </c>
      <c r="O269" s="15">
        <v>9.24</v>
      </c>
      <c r="P269" s="15">
        <v>19.149999999999999</v>
      </c>
      <c r="Q269" s="15">
        <v>14</v>
      </c>
      <c r="R269" s="15">
        <v>89</v>
      </c>
      <c r="S269" s="15">
        <v>80</v>
      </c>
      <c r="T269" s="3"/>
      <c r="U269" s="3"/>
      <c r="V269" s="6" t="s">
        <v>424</v>
      </c>
    </row>
    <row r="270" spans="1:22" ht="15" customHeight="1" x14ac:dyDescent="0.2">
      <c r="A270" s="3"/>
      <c r="B270" s="3"/>
      <c r="C270" s="3"/>
      <c r="D270" s="14" t="s">
        <v>683</v>
      </c>
      <c r="E270" s="3"/>
      <c r="F270" s="19" t="s">
        <v>606</v>
      </c>
      <c r="G270" s="6" t="s">
        <v>607</v>
      </c>
      <c r="H270" s="14" t="s">
        <v>580</v>
      </c>
      <c r="I270" s="8" t="s">
        <v>419</v>
      </c>
      <c r="J270" s="20" t="s">
        <v>26</v>
      </c>
      <c r="K270" s="22">
        <v>18.7</v>
      </c>
      <c r="L270" s="22">
        <v>11.25</v>
      </c>
      <c r="M270" s="23">
        <v>4.16</v>
      </c>
      <c r="N270" s="15">
        <v>5.29</v>
      </c>
      <c r="O270" s="15">
        <v>9.06</v>
      </c>
      <c r="P270" s="15">
        <v>19.489999999999998</v>
      </c>
      <c r="Q270" s="15">
        <v>16</v>
      </c>
      <c r="R270" s="15">
        <v>89</v>
      </c>
      <c r="S270" s="15">
        <v>78</v>
      </c>
      <c r="T270" s="3"/>
      <c r="U270" s="3"/>
      <c r="V270" s="6" t="s">
        <v>424</v>
      </c>
    </row>
    <row r="271" spans="1:22" ht="15" customHeight="1" x14ac:dyDescent="0.2">
      <c r="A271" s="3"/>
      <c r="B271" s="3"/>
      <c r="C271" s="3"/>
      <c r="D271" s="14" t="s">
        <v>683</v>
      </c>
      <c r="E271" s="3"/>
      <c r="F271" s="19" t="s">
        <v>608</v>
      </c>
      <c r="G271" s="6" t="s">
        <v>609</v>
      </c>
      <c r="H271" s="14" t="s">
        <v>577</v>
      </c>
      <c r="I271" s="8" t="s">
        <v>419</v>
      </c>
      <c r="J271" s="20" t="s">
        <v>26</v>
      </c>
      <c r="K271" s="22">
        <v>19.86</v>
      </c>
      <c r="L271" s="22">
        <v>11.71</v>
      </c>
      <c r="M271" s="23">
        <v>4.9400000000000004</v>
      </c>
      <c r="N271" s="15">
        <v>4.8</v>
      </c>
      <c r="O271" s="15">
        <v>8.98</v>
      </c>
      <c r="P271" s="15">
        <v>18.41</v>
      </c>
      <c r="Q271" s="15">
        <v>12</v>
      </c>
      <c r="R271" s="15">
        <v>82</v>
      </c>
      <c r="S271" s="15">
        <v>78</v>
      </c>
      <c r="T271" s="3"/>
      <c r="U271" s="3"/>
      <c r="V271" s="6" t="s">
        <v>424</v>
      </c>
    </row>
    <row r="272" spans="1:22" ht="15" customHeight="1" x14ac:dyDescent="0.2">
      <c r="A272" s="3"/>
      <c r="B272" s="3"/>
      <c r="C272" s="3"/>
      <c r="D272" s="14" t="s">
        <v>683</v>
      </c>
      <c r="E272" s="3"/>
      <c r="F272" s="19" t="s">
        <v>610</v>
      </c>
      <c r="G272" s="6" t="s">
        <v>611</v>
      </c>
      <c r="H272" s="14" t="s">
        <v>592</v>
      </c>
      <c r="I272" s="8" t="s">
        <v>419</v>
      </c>
      <c r="J272" s="20" t="s">
        <v>26</v>
      </c>
      <c r="K272" s="22">
        <v>19.55</v>
      </c>
      <c r="L272" s="22">
        <v>11.41</v>
      </c>
      <c r="M272" s="23">
        <v>4.91</v>
      </c>
      <c r="N272" s="15">
        <v>5.05</v>
      </c>
      <c r="O272" s="15">
        <v>9.26</v>
      </c>
      <c r="P272" s="15">
        <v>18.22</v>
      </c>
      <c r="Q272" s="15">
        <v>11</v>
      </c>
      <c r="R272" s="15">
        <v>86</v>
      </c>
      <c r="S272" s="15">
        <v>76</v>
      </c>
      <c r="T272" s="3"/>
      <c r="U272" s="3"/>
      <c r="V272" s="6" t="s">
        <v>424</v>
      </c>
    </row>
    <row r="273" spans="1:22" ht="15" customHeight="1" x14ac:dyDescent="0.2">
      <c r="A273" s="3"/>
      <c r="B273" s="3"/>
      <c r="C273" s="3"/>
      <c r="D273" s="14" t="s">
        <v>683</v>
      </c>
      <c r="E273" s="3"/>
      <c r="F273" s="19" t="s">
        <v>612</v>
      </c>
      <c r="G273" s="6" t="s">
        <v>613</v>
      </c>
      <c r="H273" s="14" t="s">
        <v>614</v>
      </c>
      <c r="I273" s="8" t="s">
        <v>419</v>
      </c>
      <c r="J273" s="20" t="s">
        <v>26</v>
      </c>
      <c r="K273" s="22">
        <v>20.02</v>
      </c>
      <c r="L273" s="22">
        <v>12.07</v>
      </c>
      <c r="M273" s="23">
        <v>4.32</v>
      </c>
      <c r="N273" s="15">
        <v>5.19</v>
      </c>
      <c r="O273" s="15">
        <v>9.17</v>
      </c>
      <c r="P273" s="15">
        <v>19.91</v>
      </c>
      <c r="Q273" s="15">
        <v>14</v>
      </c>
      <c r="R273" s="15">
        <v>87</v>
      </c>
      <c r="S273" s="15">
        <v>79</v>
      </c>
      <c r="T273" s="3"/>
      <c r="U273" s="3"/>
      <c r="V273" s="6" t="s">
        <v>424</v>
      </c>
    </row>
    <row r="274" spans="1:22" ht="15" customHeight="1" x14ac:dyDescent="0.2">
      <c r="A274" s="3"/>
      <c r="B274" s="3"/>
      <c r="C274" s="3"/>
      <c r="D274" s="14" t="s">
        <v>683</v>
      </c>
      <c r="E274" s="3"/>
      <c r="F274" s="19" t="s">
        <v>615</v>
      </c>
      <c r="G274" s="6" t="s">
        <v>616</v>
      </c>
      <c r="H274" s="14" t="s">
        <v>614</v>
      </c>
      <c r="I274" s="8" t="s">
        <v>419</v>
      </c>
      <c r="J274" s="20" t="s">
        <v>26</v>
      </c>
      <c r="K274" s="22">
        <v>19.45</v>
      </c>
      <c r="L274" s="22">
        <v>11.92</v>
      </c>
      <c r="M274" s="23">
        <v>5.57</v>
      </c>
      <c r="N274" s="15">
        <v>5.45</v>
      </c>
      <c r="O274" s="15">
        <v>9.89</v>
      </c>
      <c r="P274" s="15">
        <v>19.04</v>
      </c>
      <c r="Q274" s="15">
        <v>12</v>
      </c>
      <c r="R274" s="15">
        <v>87</v>
      </c>
      <c r="S274" s="15">
        <v>79</v>
      </c>
      <c r="T274" s="3"/>
      <c r="U274" s="3"/>
      <c r="V274" s="6" t="s">
        <v>424</v>
      </c>
    </row>
    <row r="275" spans="1:22" ht="15" customHeight="1" x14ac:dyDescent="0.2">
      <c r="A275" s="3"/>
      <c r="B275" s="3"/>
      <c r="C275" s="3"/>
      <c r="D275" s="14" t="s">
        <v>683</v>
      </c>
      <c r="E275" s="3"/>
      <c r="F275" s="19" t="s">
        <v>617</v>
      </c>
      <c r="G275" s="6" t="s">
        <v>618</v>
      </c>
      <c r="H275" s="14" t="s">
        <v>571</v>
      </c>
      <c r="I275" s="8" t="s">
        <v>419</v>
      </c>
      <c r="J275" s="20" t="s">
        <v>26</v>
      </c>
      <c r="K275" s="22">
        <v>20.52</v>
      </c>
      <c r="L275" s="22">
        <v>12.75</v>
      </c>
      <c r="M275" s="23">
        <v>4.9000000000000004</v>
      </c>
      <c r="N275" s="15">
        <v>5.18</v>
      </c>
      <c r="O275" s="15">
        <v>9.77</v>
      </c>
      <c r="P275" s="15">
        <v>19.649999999999999</v>
      </c>
      <c r="Q275" s="15">
        <v>16</v>
      </c>
      <c r="R275" s="15">
        <v>88</v>
      </c>
      <c r="S275" s="15">
        <v>76</v>
      </c>
      <c r="T275" s="3"/>
      <c r="U275" s="3"/>
      <c r="V275" s="6" t="s">
        <v>424</v>
      </c>
    </row>
    <row r="276" spans="1:22" ht="15" customHeight="1" x14ac:dyDescent="0.2">
      <c r="A276" s="3"/>
      <c r="B276" s="3"/>
      <c r="C276" s="3"/>
      <c r="D276" s="14" t="s">
        <v>683</v>
      </c>
      <c r="E276" s="3"/>
      <c r="F276" s="19" t="s">
        <v>619</v>
      </c>
      <c r="G276" s="6" t="s">
        <v>620</v>
      </c>
      <c r="H276" s="14" t="s">
        <v>621</v>
      </c>
      <c r="I276" s="8" t="s">
        <v>419</v>
      </c>
      <c r="J276" s="20" t="s">
        <v>26</v>
      </c>
      <c r="K276" s="22">
        <v>19.18</v>
      </c>
      <c r="L276" s="22">
        <v>12.01</v>
      </c>
      <c r="M276" s="23">
        <v>5.05</v>
      </c>
      <c r="N276" s="15">
        <v>5</v>
      </c>
      <c r="O276" s="15">
        <v>9.02</v>
      </c>
      <c r="P276" s="15">
        <v>19.04</v>
      </c>
      <c r="Q276" s="15">
        <v>12</v>
      </c>
      <c r="R276" s="15">
        <v>86</v>
      </c>
      <c r="S276" s="15">
        <v>79</v>
      </c>
      <c r="T276" s="3"/>
      <c r="U276" s="3"/>
      <c r="V276" s="6" t="s">
        <v>424</v>
      </c>
    </row>
    <row r="277" spans="1:22" ht="15" customHeight="1" x14ac:dyDescent="0.2">
      <c r="A277" s="3"/>
      <c r="B277" s="3"/>
      <c r="C277" s="3"/>
      <c r="D277" s="14" t="s">
        <v>683</v>
      </c>
      <c r="E277" s="3"/>
      <c r="F277" s="19" t="s">
        <v>622</v>
      </c>
      <c r="G277" s="6" t="s">
        <v>623</v>
      </c>
      <c r="H277" s="14" t="s">
        <v>624</v>
      </c>
      <c r="I277" s="8" t="s">
        <v>419</v>
      </c>
      <c r="J277" s="20" t="s">
        <v>26</v>
      </c>
      <c r="K277" s="22">
        <v>20.32</v>
      </c>
      <c r="L277" s="22">
        <v>12.4</v>
      </c>
      <c r="M277" s="23">
        <v>4.9400000000000004</v>
      </c>
      <c r="N277" s="15">
        <v>5.23</v>
      </c>
      <c r="O277" s="15">
        <v>9.73</v>
      </c>
      <c r="P277" s="15">
        <v>19.61</v>
      </c>
      <c r="Q277" s="15">
        <v>13</v>
      </c>
      <c r="R277" s="15">
        <v>85</v>
      </c>
      <c r="S277" s="15">
        <v>76</v>
      </c>
      <c r="T277" s="3"/>
      <c r="U277" s="3"/>
      <c r="V277" s="6" t="s">
        <v>424</v>
      </c>
    </row>
    <row r="278" spans="1:22" ht="15" customHeight="1" x14ac:dyDescent="0.2">
      <c r="A278" s="3"/>
      <c r="B278" s="3"/>
      <c r="C278" s="3"/>
      <c r="D278" s="14" t="s">
        <v>683</v>
      </c>
      <c r="E278" s="3"/>
      <c r="F278" s="19" t="s">
        <v>625</v>
      </c>
      <c r="G278" s="6" t="s">
        <v>600</v>
      </c>
      <c r="H278" s="14" t="s">
        <v>568</v>
      </c>
      <c r="I278" s="8" t="s">
        <v>419</v>
      </c>
      <c r="J278" s="20" t="s">
        <v>26</v>
      </c>
      <c r="K278" s="23">
        <v>19.91</v>
      </c>
      <c r="L278" s="15">
        <v>11.99</v>
      </c>
      <c r="M278" s="15">
        <v>4.8499999999999996</v>
      </c>
      <c r="N278" s="14" t="s">
        <v>685</v>
      </c>
      <c r="O278" s="15">
        <v>9.07</v>
      </c>
      <c r="P278" s="15">
        <v>18.38</v>
      </c>
      <c r="Q278" s="15">
        <v>17</v>
      </c>
      <c r="R278" s="15">
        <v>89</v>
      </c>
      <c r="S278" s="15">
        <v>75</v>
      </c>
      <c r="T278" s="3"/>
      <c r="U278" s="3"/>
      <c r="V278" s="6" t="s">
        <v>424</v>
      </c>
    </row>
    <row r="279" spans="1:22" ht="15" customHeight="1" x14ac:dyDescent="0.2">
      <c r="A279" s="3"/>
      <c r="B279" s="3"/>
      <c r="C279" s="3"/>
      <c r="D279" s="14" t="s">
        <v>683</v>
      </c>
      <c r="E279" s="3"/>
      <c r="F279" s="19" t="s">
        <v>626</v>
      </c>
      <c r="G279" s="6" t="s">
        <v>627</v>
      </c>
      <c r="H279" s="14" t="s">
        <v>571</v>
      </c>
      <c r="I279" s="8" t="s">
        <v>419</v>
      </c>
      <c r="J279" s="20" t="s">
        <v>26</v>
      </c>
      <c r="K279" s="22">
        <v>19.8</v>
      </c>
      <c r="L279" s="22">
        <v>12.16</v>
      </c>
      <c r="M279" s="22">
        <v>5.1100000000000003</v>
      </c>
      <c r="N279" s="22">
        <v>5.27</v>
      </c>
      <c r="O279" s="22">
        <v>9.25</v>
      </c>
      <c r="P279" s="22">
        <v>19.78</v>
      </c>
      <c r="Q279" s="22">
        <v>14</v>
      </c>
      <c r="R279" s="22">
        <v>90</v>
      </c>
      <c r="S279" s="22">
        <v>79</v>
      </c>
      <c r="T279" s="3"/>
      <c r="U279" s="3"/>
      <c r="V279" s="6" t="s">
        <v>424</v>
      </c>
    </row>
    <row r="280" spans="1:22" ht="15" customHeight="1" x14ac:dyDescent="0.2">
      <c r="A280" s="3"/>
      <c r="B280" s="3"/>
      <c r="C280" s="3"/>
      <c r="D280" s="14" t="s">
        <v>683</v>
      </c>
      <c r="E280" s="3"/>
      <c r="F280" s="19" t="s">
        <v>628</v>
      </c>
      <c r="G280" s="6" t="s">
        <v>629</v>
      </c>
      <c r="H280" s="14" t="s">
        <v>630</v>
      </c>
      <c r="I280" s="8" t="s">
        <v>419</v>
      </c>
      <c r="J280" s="20" t="s">
        <v>30</v>
      </c>
      <c r="K280" s="22">
        <v>20</v>
      </c>
      <c r="L280" s="22">
        <v>11.96</v>
      </c>
      <c r="M280" s="22">
        <v>4.38</v>
      </c>
      <c r="N280" s="22">
        <v>5.68</v>
      </c>
      <c r="O280" s="22">
        <v>9.98</v>
      </c>
      <c r="P280" s="22">
        <v>19.64</v>
      </c>
      <c r="Q280" s="22">
        <v>13</v>
      </c>
      <c r="R280" s="22">
        <v>92</v>
      </c>
      <c r="S280" s="22">
        <v>81</v>
      </c>
      <c r="T280" s="3"/>
      <c r="U280" s="3"/>
      <c r="V280" s="6" t="s">
        <v>424</v>
      </c>
    </row>
    <row r="281" spans="1:22" ht="15" customHeight="1" x14ac:dyDescent="0.2">
      <c r="A281" s="3"/>
      <c r="B281" s="3"/>
      <c r="C281" s="3"/>
      <c r="D281" s="14" t="s">
        <v>683</v>
      </c>
      <c r="E281" s="3"/>
      <c r="F281" s="19" t="s">
        <v>631</v>
      </c>
      <c r="G281" s="6" t="s">
        <v>632</v>
      </c>
      <c r="H281" s="14" t="s">
        <v>577</v>
      </c>
      <c r="I281" s="8" t="s">
        <v>419</v>
      </c>
      <c r="J281" s="20" t="s">
        <v>26</v>
      </c>
      <c r="K281" s="22">
        <v>18.690000000000001</v>
      </c>
      <c r="L281" s="22">
        <v>12.26</v>
      </c>
      <c r="M281" s="22">
        <v>5.29</v>
      </c>
      <c r="N281" s="22">
        <v>5.33</v>
      </c>
      <c r="O281" s="22">
        <v>9.83</v>
      </c>
      <c r="P281" s="22">
        <v>19.45</v>
      </c>
      <c r="Q281" s="22">
        <v>15</v>
      </c>
      <c r="R281" s="22">
        <v>93</v>
      </c>
      <c r="S281" s="22">
        <v>79</v>
      </c>
      <c r="T281" s="3"/>
      <c r="U281" s="3"/>
      <c r="V281" s="6" t="s">
        <v>424</v>
      </c>
    </row>
    <row r="282" spans="1:22" ht="15" customHeight="1" x14ac:dyDescent="0.2">
      <c r="A282" s="3"/>
      <c r="B282" s="3"/>
      <c r="C282" s="3"/>
      <c r="D282" s="14" t="s">
        <v>683</v>
      </c>
      <c r="E282" s="3"/>
      <c r="F282" s="19" t="s">
        <v>633</v>
      </c>
      <c r="G282" s="6" t="s">
        <v>600</v>
      </c>
      <c r="H282" s="14" t="s">
        <v>568</v>
      </c>
      <c r="I282" s="8" t="s">
        <v>419</v>
      </c>
      <c r="J282" s="20" t="s">
        <v>30</v>
      </c>
      <c r="K282" s="22">
        <v>19.77</v>
      </c>
      <c r="L282" s="22">
        <v>12.51</v>
      </c>
      <c r="M282" s="22">
        <v>4.8899999999999997</v>
      </c>
      <c r="N282" s="22">
        <v>5.36</v>
      </c>
      <c r="O282" s="22">
        <v>9.3000000000000007</v>
      </c>
      <c r="P282" s="22">
        <v>19.059999999999999</v>
      </c>
      <c r="Q282" s="22">
        <v>11</v>
      </c>
      <c r="R282" s="22">
        <v>87</v>
      </c>
      <c r="S282" s="22">
        <v>78</v>
      </c>
      <c r="T282" s="3"/>
      <c r="U282" s="3"/>
      <c r="V282" s="6" t="s">
        <v>424</v>
      </c>
    </row>
    <row r="283" spans="1:22" ht="15" customHeight="1" x14ac:dyDescent="0.2">
      <c r="A283" s="3"/>
      <c r="B283" s="3"/>
      <c r="C283" s="3"/>
      <c r="D283" s="14" t="s">
        <v>683</v>
      </c>
      <c r="E283" s="3"/>
      <c r="F283" s="19" t="s">
        <v>634</v>
      </c>
      <c r="G283" s="6" t="s">
        <v>600</v>
      </c>
      <c r="H283" s="14" t="s">
        <v>568</v>
      </c>
      <c r="I283" s="8" t="s">
        <v>419</v>
      </c>
      <c r="J283" s="20" t="s">
        <v>26</v>
      </c>
      <c r="K283" s="22">
        <v>19.38</v>
      </c>
      <c r="L283" s="22">
        <v>11.7</v>
      </c>
      <c r="M283" s="22">
        <v>4.8499999999999996</v>
      </c>
      <c r="N283" s="22">
        <v>5.0199999999999996</v>
      </c>
      <c r="O283" s="22">
        <v>9.5</v>
      </c>
      <c r="P283" s="22">
        <v>18.149999999999999</v>
      </c>
      <c r="Q283" s="22">
        <v>13</v>
      </c>
      <c r="R283" s="22">
        <v>85</v>
      </c>
      <c r="S283" s="22">
        <v>78</v>
      </c>
      <c r="T283" s="3"/>
      <c r="U283" s="3"/>
      <c r="V283" s="6" t="s">
        <v>424</v>
      </c>
    </row>
    <row r="284" spans="1:22" ht="15" customHeight="1" x14ac:dyDescent="0.2">
      <c r="A284" s="3"/>
      <c r="B284" s="3"/>
      <c r="C284" s="3"/>
      <c r="D284" s="14" t="s">
        <v>683</v>
      </c>
      <c r="E284" s="3"/>
      <c r="F284" s="19" t="s">
        <v>635</v>
      </c>
      <c r="G284" s="6" t="s">
        <v>600</v>
      </c>
      <c r="H284" s="14" t="s">
        <v>568</v>
      </c>
      <c r="I284" s="8" t="s">
        <v>419</v>
      </c>
      <c r="J284" s="20" t="s">
        <v>26</v>
      </c>
      <c r="K284" s="22">
        <v>18</v>
      </c>
      <c r="L284" s="22">
        <v>11.5</v>
      </c>
      <c r="M284" s="22">
        <v>5.19</v>
      </c>
      <c r="N284" s="22">
        <v>5.16</v>
      </c>
      <c r="O284" s="22">
        <v>8.98</v>
      </c>
      <c r="P284" s="22">
        <v>18.690000000000001</v>
      </c>
      <c r="Q284" s="22">
        <v>13</v>
      </c>
      <c r="R284" s="22">
        <v>87</v>
      </c>
      <c r="S284" s="22">
        <v>78</v>
      </c>
      <c r="T284" s="3"/>
      <c r="U284" s="3"/>
      <c r="V284" s="6" t="s">
        <v>424</v>
      </c>
    </row>
    <row r="285" spans="1:22" ht="15" customHeight="1" x14ac:dyDescent="0.2">
      <c r="A285" s="3"/>
      <c r="B285" s="3"/>
      <c r="C285" s="3"/>
      <c r="D285" s="14" t="s">
        <v>683</v>
      </c>
      <c r="E285" s="3"/>
      <c r="F285" s="19" t="s">
        <v>636</v>
      </c>
      <c r="G285" s="6" t="s">
        <v>602</v>
      </c>
      <c r="H285" s="14" t="s">
        <v>574</v>
      </c>
      <c r="I285" s="8" t="s">
        <v>419</v>
      </c>
      <c r="J285" s="20" t="s">
        <v>26</v>
      </c>
      <c r="K285" s="22">
        <v>17.72</v>
      </c>
      <c r="L285" s="22">
        <v>10.050000000000001</v>
      </c>
      <c r="M285" s="22">
        <v>4.53</v>
      </c>
      <c r="N285" s="22">
        <v>4.16</v>
      </c>
      <c r="O285" s="22">
        <v>8.4600000000000009</v>
      </c>
      <c r="P285" s="22">
        <v>18.89</v>
      </c>
      <c r="Q285" s="22">
        <v>16</v>
      </c>
      <c r="R285" s="22">
        <v>83</v>
      </c>
      <c r="S285" s="22">
        <v>74</v>
      </c>
      <c r="T285" s="3"/>
      <c r="U285" s="3"/>
      <c r="V285" s="6" t="s">
        <v>424</v>
      </c>
    </row>
    <row r="286" spans="1:22" ht="15" customHeight="1" x14ac:dyDescent="0.2">
      <c r="A286" s="3"/>
      <c r="B286" s="3"/>
      <c r="C286" s="3"/>
      <c r="D286" s="14" t="s">
        <v>683</v>
      </c>
      <c r="E286" s="3"/>
      <c r="F286" s="19" t="s">
        <v>637</v>
      </c>
      <c r="G286" s="6" t="s">
        <v>638</v>
      </c>
      <c r="H286" s="14" t="s">
        <v>630</v>
      </c>
      <c r="I286" s="8" t="s">
        <v>419</v>
      </c>
      <c r="J286" s="20" t="s">
        <v>26</v>
      </c>
      <c r="K286" s="22">
        <v>18.57</v>
      </c>
      <c r="L286" s="22">
        <v>11.42</v>
      </c>
      <c r="M286" s="22">
        <v>4.3099999999999996</v>
      </c>
      <c r="N286" s="22">
        <v>4.88</v>
      </c>
      <c r="O286" s="22">
        <v>9.6999999999999993</v>
      </c>
      <c r="P286" s="22">
        <v>18.100000000000001</v>
      </c>
      <c r="Q286" s="22">
        <v>11</v>
      </c>
      <c r="R286" s="22">
        <v>89</v>
      </c>
      <c r="S286" s="22">
        <v>76</v>
      </c>
      <c r="T286" s="3"/>
      <c r="U286" s="3"/>
      <c r="V286" s="6" t="s">
        <v>424</v>
      </c>
    </row>
    <row r="287" spans="1:22" ht="15" customHeight="1" x14ac:dyDescent="0.2">
      <c r="A287" s="3"/>
      <c r="B287" s="3"/>
      <c r="C287" s="3"/>
      <c r="D287" s="14" t="s">
        <v>683</v>
      </c>
      <c r="E287" s="3"/>
      <c r="F287" s="19" t="s">
        <v>639</v>
      </c>
      <c r="G287" s="6" t="s">
        <v>640</v>
      </c>
      <c r="H287" s="14" t="s">
        <v>605</v>
      </c>
      <c r="I287" s="8" t="s">
        <v>419</v>
      </c>
      <c r="J287" s="20" t="s">
        <v>30</v>
      </c>
      <c r="K287" s="22">
        <v>16.12</v>
      </c>
      <c r="L287" s="22">
        <v>11.49</v>
      </c>
      <c r="M287" s="22">
        <v>4.66</v>
      </c>
      <c r="N287" s="22">
        <v>4.8</v>
      </c>
      <c r="O287" s="22">
        <v>8.1</v>
      </c>
      <c r="P287" s="22">
        <v>19.39</v>
      </c>
      <c r="Q287" s="22">
        <v>14</v>
      </c>
      <c r="R287" s="22">
        <v>90</v>
      </c>
      <c r="S287" s="22">
        <v>75</v>
      </c>
      <c r="T287" s="3"/>
      <c r="U287" s="3"/>
      <c r="V287" s="6" t="s">
        <v>424</v>
      </c>
    </row>
    <row r="288" spans="1:22" ht="15" customHeight="1" x14ac:dyDescent="0.2">
      <c r="A288" s="3"/>
      <c r="B288" s="3"/>
      <c r="C288" s="3"/>
      <c r="D288" s="14" t="s">
        <v>683</v>
      </c>
      <c r="E288" s="3"/>
      <c r="F288" s="19" t="s">
        <v>641</v>
      </c>
      <c r="G288" s="12" t="s">
        <v>642</v>
      </c>
      <c r="H288" s="14" t="s">
        <v>643</v>
      </c>
      <c r="I288" s="8" t="s">
        <v>419</v>
      </c>
      <c r="J288" s="20" t="s">
        <v>26</v>
      </c>
      <c r="K288" s="22">
        <v>19.72</v>
      </c>
      <c r="L288" s="22">
        <v>12.14</v>
      </c>
      <c r="M288" s="22">
        <v>4.72</v>
      </c>
      <c r="N288" s="22">
        <v>5.21</v>
      </c>
      <c r="O288" s="22">
        <v>9.5299999999999994</v>
      </c>
      <c r="P288" s="22">
        <v>18</v>
      </c>
      <c r="Q288" s="22">
        <v>12</v>
      </c>
      <c r="R288" s="22">
        <v>84</v>
      </c>
      <c r="S288" s="22">
        <v>81</v>
      </c>
      <c r="T288" s="3"/>
      <c r="U288" s="3"/>
      <c r="V288" s="6" t="s">
        <v>424</v>
      </c>
    </row>
    <row r="289" spans="1:22" ht="15" customHeight="1" x14ac:dyDescent="0.2">
      <c r="A289" s="24"/>
      <c r="B289" s="22"/>
      <c r="C289" s="23"/>
      <c r="D289" s="14" t="s">
        <v>683</v>
      </c>
      <c r="E289" s="24"/>
      <c r="F289" s="19" t="s">
        <v>644</v>
      </c>
      <c r="G289" s="14" t="s">
        <v>591</v>
      </c>
      <c r="H289" s="14" t="s">
        <v>592</v>
      </c>
      <c r="I289" s="25" t="s">
        <v>419</v>
      </c>
      <c r="J289" s="20" t="s">
        <v>26</v>
      </c>
      <c r="K289" s="22">
        <v>19.72</v>
      </c>
      <c r="L289" s="22">
        <v>12.34</v>
      </c>
      <c r="M289" s="22">
        <v>5.12</v>
      </c>
      <c r="N289" s="22">
        <v>5.45</v>
      </c>
      <c r="O289" s="22">
        <v>8.67</v>
      </c>
      <c r="P289" s="21" t="s">
        <v>685</v>
      </c>
      <c r="Q289" s="22">
        <v>16</v>
      </c>
      <c r="R289" s="22">
        <v>92</v>
      </c>
      <c r="S289" s="22">
        <v>81</v>
      </c>
      <c r="T289" s="22"/>
      <c r="U289" s="23"/>
      <c r="V289" s="6" t="s">
        <v>424</v>
      </c>
    </row>
    <row r="290" spans="1:22" ht="15" customHeight="1" x14ac:dyDescent="0.2">
      <c r="A290" s="3"/>
      <c r="B290" s="3"/>
      <c r="C290" s="3"/>
      <c r="D290" s="14" t="s">
        <v>682</v>
      </c>
      <c r="E290" s="3"/>
      <c r="F290" s="19" t="s">
        <v>645</v>
      </c>
      <c r="G290" s="26" t="s">
        <v>646</v>
      </c>
      <c r="H290" s="14" t="s">
        <v>647</v>
      </c>
      <c r="I290" s="8" t="s">
        <v>419</v>
      </c>
      <c r="J290" s="20" t="s">
        <v>30</v>
      </c>
      <c r="K290" s="22">
        <v>33.520000000000003</v>
      </c>
      <c r="L290" s="22">
        <v>20.440000000000001</v>
      </c>
      <c r="M290" s="22">
        <v>6.59</v>
      </c>
      <c r="N290" s="21" t="s">
        <v>685</v>
      </c>
      <c r="O290" s="22">
        <v>14.47</v>
      </c>
      <c r="P290" s="22">
        <v>26.1</v>
      </c>
      <c r="Q290" s="22">
        <v>26</v>
      </c>
      <c r="R290" s="22">
        <v>128</v>
      </c>
      <c r="S290" s="22">
        <v>126</v>
      </c>
      <c r="T290" s="3"/>
      <c r="U290" s="3"/>
      <c r="V290" s="6" t="s">
        <v>424</v>
      </c>
    </row>
    <row r="291" spans="1:22" ht="15" customHeight="1" x14ac:dyDescent="0.2">
      <c r="A291" s="3"/>
      <c r="B291" s="3"/>
      <c r="C291" s="3"/>
      <c r="D291" s="14" t="s">
        <v>682</v>
      </c>
      <c r="E291" s="3"/>
      <c r="F291" s="19" t="s">
        <v>648</v>
      </c>
      <c r="G291" s="6" t="s">
        <v>649</v>
      </c>
      <c r="H291" s="14" t="s">
        <v>647</v>
      </c>
      <c r="I291" s="8" t="s">
        <v>419</v>
      </c>
      <c r="J291" s="20" t="s">
        <v>26</v>
      </c>
      <c r="K291" s="22">
        <v>30.31</v>
      </c>
      <c r="L291" s="22">
        <v>18.28</v>
      </c>
      <c r="M291" s="22">
        <v>5.86</v>
      </c>
      <c r="N291" s="22">
        <v>7.29</v>
      </c>
      <c r="O291" s="22">
        <v>13.65</v>
      </c>
      <c r="P291" s="22">
        <v>22.52</v>
      </c>
      <c r="Q291" s="22">
        <v>23</v>
      </c>
      <c r="R291" s="22">
        <v>129</v>
      </c>
      <c r="S291" s="22">
        <v>124</v>
      </c>
      <c r="T291" s="3"/>
      <c r="U291" s="3"/>
      <c r="V291" s="6" t="s">
        <v>424</v>
      </c>
    </row>
    <row r="292" spans="1:22" ht="15" customHeight="1" x14ac:dyDescent="0.2">
      <c r="A292" s="3"/>
      <c r="B292" s="3"/>
      <c r="C292" s="3"/>
      <c r="D292" s="14" t="s">
        <v>682</v>
      </c>
      <c r="E292" s="3"/>
      <c r="F292" s="19" t="s">
        <v>650</v>
      </c>
      <c r="G292" s="6" t="s">
        <v>649</v>
      </c>
      <c r="H292" s="14" t="s">
        <v>647</v>
      </c>
      <c r="I292" s="8" t="s">
        <v>419</v>
      </c>
      <c r="J292" s="20" t="s">
        <v>30</v>
      </c>
      <c r="K292" s="22">
        <v>30.83</v>
      </c>
      <c r="L292" s="22">
        <v>17.600000000000001</v>
      </c>
      <c r="M292" s="22">
        <v>6.44</v>
      </c>
      <c r="N292" s="22">
        <v>7.96</v>
      </c>
      <c r="O292" s="22">
        <v>14.37</v>
      </c>
      <c r="P292" s="22">
        <v>23.81</v>
      </c>
      <c r="Q292" s="22">
        <v>22</v>
      </c>
      <c r="R292" s="22">
        <v>122</v>
      </c>
      <c r="S292" s="22">
        <v>118</v>
      </c>
      <c r="T292" s="3"/>
      <c r="U292" s="3"/>
      <c r="V292" s="6" t="s">
        <v>424</v>
      </c>
    </row>
    <row r="293" spans="1:22" ht="15" customHeight="1" x14ac:dyDescent="0.2">
      <c r="A293" s="3"/>
      <c r="B293" s="3"/>
      <c r="C293" s="3"/>
      <c r="D293" s="14" t="s">
        <v>682</v>
      </c>
      <c r="E293" s="3"/>
      <c r="F293" s="19" t="s">
        <v>651</v>
      </c>
      <c r="G293" s="6" t="s">
        <v>652</v>
      </c>
      <c r="H293" s="14" t="s">
        <v>647</v>
      </c>
      <c r="I293" s="8" t="s">
        <v>419</v>
      </c>
      <c r="J293" s="20" t="s">
        <v>26</v>
      </c>
      <c r="K293" s="22">
        <v>32.380000000000003</v>
      </c>
      <c r="L293" s="22">
        <v>19.62</v>
      </c>
      <c r="M293" s="22">
        <v>6.02</v>
      </c>
      <c r="N293" s="22">
        <v>8.19</v>
      </c>
      <c r="O293" s="22">
        <v>13.31</v>
      </c>
      <c r="P293" s="22">
        <v>24.82</v>
      </c>
      <c r="Q293" s="22">
        <v>22</v>
      </c>
      <c r="R293" s="22">
        <v>130</v>
      </c>
      <c r="S293" s="22">
        <v>126</v>
      </c>
      <c r="T293" s="3"/>
      <c r="U293" s="3"/>
      <c r="V293" s="6" t="s">
        <v>424</v>
      </c>
    </row>
    <row r="294" spans="1:22" ht="15" customHeight="1" x14ac:dyDescent="0.2">
      <c r="A294" s="3"/>
      <c r="B294" s="3"/>
      <c r="C294" s="3"/>
      <c r="D294" s="14" t="s">
        <v>682</v>
      </c>
      <c r="E294" s="3"/>
      <c r="F294" s="19" t="s">
        <v>653</v>
      </c>
      <c r="G294" s="6" t="s">
        <v>652</v>
      </c>
      <c r="H294" s="14" t="s">
        <v>647</v>
      </c>
      <c r="I294" s="8" t="s">
        <v>419</v>
      </c>
      <c r="J294" s="20" t="s">
        <v>26</v>
      </c>
      <c r="K294" s="22">
        <v>32.28</v>
      </c>
      <c r="L294" s="22">
        <v>19.38</v>
      </c>
      <c r="M294" s="22">
        <v>6.58</v>
      </c>
      <c r="N294" s="22">
        <v>7.58</v>
      </c>
      <c r="O294" s="22">
        <v>12.67</v>
      </c>
      <c r="P294" s="22">
        <v>24.1</v>
      </c>
      <c r="Q294" s="22">
        <v>22</v>
      </c>
      <c r="R294" s="22">
        <v>131</v>
      </c>
      <c r="S294" s="22">
        <v>126</v>
      </c>
      <c r="T294" s="3"/>
      <c r="U294" s="3"/>
      <c r="V294" s="6" t="s">
        <v>424</v>
      </c>
    </row>
    <row r="295" spans="1:22" ht="15" customHeight="1" x14ac:dyDescent="0.2">
      <c r="A295" s="3"/>
      <c r="B295" s="3"/>
      <c r="C295" s="3"/>
      <c r="D295" s="14" t="s">
        <v>682</v>
      </c>
      <c r="E295" s="3"/>
      <c r="F295" s="19" t="s">
        <v>654</v>
      </c>
      <c r="G295" s="6" t="s">
        <v>655</v>
      </c>
      <c r="H295" s="14" t="s">
        <v>647</v>
      </c>
      <c r="I295" s="8" t="s">
        <v>419</v>
      </c>
      <c r="J295" s="20" t="s">
        <v>26</v>
      </c>
      <c r="K295" s="21" t="s">
        <v>685</v>
      </c>
      <c r="L295" s="21" t="s">
        <v>685</v>
      </c>
      <c r="M295" s="22">
        <v>6.79</v>
      </c>
      <c r="N295" s="22">
        <v>7.54</v>
      </c>
      <c r="O295" s="22">
        <v>13.43</v>
      </c>
      <c r="P295" s="22">
        <v>23</v>
      </c>
      <c r="Q295" s="22">
        <v>18</v>
      </c>
      <c r="R295" s="22">
        <v>125</v>
      </c>
      <c r="S295" s="22">
        <v>127</v>
      </c>
      <c r="T295" s="3"/>
      <c r="U295" s="3"/>
      <c r="V295" s="6" t="s">
        <v>424</v>
      </c>
    </row>
    <row r="296" spans="1:22" ht="15" customHeight="1" x14ac:dyDescent="0.2">
      <c r="A296" s="3"/>
      <c r="B296" s="3"/>
      <c r="C296" s="3"/>
      <c r="D296" s="14" t="s">
        <v>682</v>
      </c>
      <c r="E296" s="3"/>
      <c r="F296" s="19" t="s">
        <v>656</v>
      </c>
      <c r="G296" s="6" t="s">
        <v>646</v>
      </c>
      <c r="H296" s="14" t="s">
        <v>647</v>
      </c>
      <c r="I296" s="8" t="s">
        <v>419</v>
      </c>
      <c r="J296" s="20" t="s">
        <v>30</v>
      </c>
      <c r="K296" s="22">
        <v>33.119999999999997</v>
      </c>
      <c r="L296" s="22">
        <v>19.13</v>
      </c>
      <c r="M296" s="22">
        <v>5.87</v>
      </c>
      <c r="N296" s="22">
        <v>8.0299999999999994</v>
      </c>
      <c r="O296" s="22">
        <v>13.23</v>
      </c>
      <c r="P296" s="22">
        <v>22.64</v>
      </c>
      <c r="Q296" s="22">
        <v>21</v>
      </c>
      <c r="R296" s="22">
        <v>129</v>
      </c>
      <c r="S296" s="22">
        <v>130</v>
      </c>
      <c r="T296" s="3"/>
      <c r="U296" s="3"/>
      <c r="V296" s="6" t="s">
        <v>424</v>
      </c>
    </row>
    <row r="297" spans="1:22" ht="15" customHeight="1" x14ac:dyDescent="0.2">
      <c r="A297" s="3"/>
      <c r="B297" s="3"/>
      <c r="C297" s="3"/>
      <c r="D297" s="14" t="s">
        <v>682</v>
      </c>
      <c r="E297" s="3"/>
      <c r="F297" s="19" t="s">
        <v>657</v>
      </c>
      <c r="G297" s="6" t="s">
        <v>658</v>
      </c>
      <c r="H297" s="14" t="s">
        <v>647</v>
      </c>
      <c r="I297" s="8" t="s">
        <v>419</v>
      </c>
      <c r="J297" s="20" t="s">
        <v>26</v>
      </c>
      <c r="K297" s="22">
        <v>29.66</v>
      </c>
      <c r="L297" s="22">
        <v>17.37</v>
      </c>
      <c r="M297" s="22">
        <v>6.59</v>
      </c>
      <c r="N297" s="22">
        <v>7.13</v>
      </c>
      <c r="O297" s="22">
        <v>13.73</v>
      </c>
      <c r="P297" s="22">
        <v>24.03</v>
      </c>
      <c r="Q297" s="22">
        <v>20</v>
      </c>
      <c r="R297" s="22">
        <v>120</v>
      </c>
      <c r="S297" s="22">
        <v>119</v>
      </c>
      <c r="T297" s="3"/>
      <c r="U297" s="3"/>
      <c r="V297" s="6" t="s">
        <v>424</v>
      </c>
    </row>
    <row r="298" spans="1:22" ht="15" customHeight="1" x14ac:dyDescent="0.2">
      <c r="A298" s="3"/>
      <c r="B298" s="3"/>
      <c r="C298" s="3"/>
      <c r="D298" s="14" t="s">
        <v>682</v>
      </c>
      <c r="E298" s="3"/>
      <c r="F298" s="19" t="s">
        <v>659</v>
      </c>
      <c r="G298" s="6" t="s">
        <v>660</v>
      </c>
      <c r="H298" s="14" t="s">
        <v>647</v>
      </c>
      <c r="I298" s="8" t="s">
        <v>419</v>
      </c>
      <c r="J298" s="20" t="s">
        <v>26</v>
      </c>
      <c r="K298" s="22">
        <v>32.15</v>
      </c>
      <c r="L298" s="22">
        <v>18.78</v>
      </c>
      <c r="M298" s="22">
        <v>6.52</v>
      </c>
      <c r="N298" s="22">
        <v>8.11</v>
      </c>
      <c r="O298" s="22">
        <v>14.27</v>
      </c>
      <c r="P298" s="22">
        <v>22.55</v>
      </c>
      <c r="Q298" s="22">
        <v>19</v>
      </c>
      <c r="R298" s="22">
        <v>124</v>
      </c>
      <c r="S298" s="22">
        <v>124</v>
      </c>
      <c r="T298" s="3"/>
      <c r="U298" s="3"/>
      <c r="V298" s="6" t="s">
        <v>424</v>
      </c>
    </row>
    <row r="299" spans="1:22" ht="15" customHeight="1" x14ac:dyDescent="0.2">
      <c r="A299" s="3"/>
      <c r="B299" s="3"/>
      <c r="C299" s="3"/>
      <c r="D299" s="14" t="s">
        <v>682</v>
      </c>
      <c r="E299" s="3"/>
      <c r="F299" s="19" t="s">
        <v>661</v>
      </c>
      <c r="G299" s="6" t="s">
        <v>662</v>
      </c>
      <c r="H299" s="14" t="s">
        <v>647</v>
      </c>
      <c r="I299" s="8" t="s">
        <v>419</v>
      </c>
      <c r="J299" s="20" t="s">
        <v>26</v>
      </c>
      <c r="K299" s="22">
        <v>32.049999999999997</v>
      </c>
      <c r="L299" s="22">
        <v>18.190000000000001</v>
      </c>
      <c r="M299" s="22">
        <v>6.3</v>
      </c>
      <c r="N299" s="22">
        <v>7.09</v>
      </c>
      <c r="O299" s="22">
        <v>13.31</v>
      </c>
      <c r="P299" s="22">
        <v>23.65</v>
      </c>
      <c r="Q299" s="22">
        <v>25</v>
      </c>
      <c r="R299" s="22">
        <v>128</v>
      </c>
      <c r="S299" s="22">
        <v>128</v>
      </c>
      <c r="T299" s="3"/>
      <c r="U299" s="3"/>
      <c r="V299" s="6" t="s">
        <v>424</v>
      </c>
    </row>
    <row r="300" spans="1:22" ht="15" customHeight="1" x14ac:dyDescent="0.2">
      <c r="A300" s="3"/>
      <c r="B300" s="3"/>
      <c r="C300" s="3"/>
      <c r="D300" s="14" t="s">
        <v>682</v>
      </c>
      <c r="E300" s="3"/>
      <c r="F300" s="19" t="s">
        <v>663</v>
      </c>
      <c r="G300" s="6" t="s">
        <v>664</v>
      </c>
      <c r="H300" s="14" t="s">
        <v>647</v>
      </c>
      <c r="I300" s="8" t="s">
        <v>419</v>
      </c>
      <c r="J300" s="20" t="s">
        <v>26</v>
      </c>
      <c r="K300" s="22">
        <v>31.34</v>
      </c>
      <c r="L300" s="22">
        <v>18.71</v>
      </c>
      <c r="M300" s="22">
        <v>6.48</v>
      </c>
      <c r="N300" s="22">
        <v>7.76</v>
      </c>
      <c r="O300" s="22">
        <v>12.48</v>
      </c>
      <c r="P300" s="22">
        <v>23.95</v>
      </c>
      <c r="Q300" s="22">
        <v>25</v>
      </c>
      <c r="R300" s="22">
        <v>130</v>
      </c>
      <c r="S300" s="22">
        <v>128</v>
      </c>
      <c r="T300" s="3"/>
      <c r="U300" s="3"/>
      <c r="V300" s="6" t="s">
        <v>424</v>
      </c>
    </row>
    <row r="301" spans="1:22" ht="15" customHeight="1" x14ac:dyDescent="0.2">
      <c r="A301" s="3"/>
      <c r="B301" s="3"/>
      <c r="C301" s="3"/>
      <c r="D301" s="14" t="s">
        <v>682</v>
      </c>
      <c r="E301" s="3"/>
      <c r="F301" s="19" t="s">
        <v>665</v>
      </c>
      <c r="G301" s="6" t="s">
        <v>666</v>
      </c>
      <c r="H301" s="14" t="s">
        <v>647</v>
      </c>
      <c r="I301" s="8" t="s">
        <v>419</v>
      </c>
      <c r="J301" s="20" t="s">
        <v>30</v>
      </c>
      <c r="K301" s="22">
        <v>31.56</v>
      </c>
      <c r="L301" s="22">
        <v>17.3</v>
      </c>
      <c r="M301" s="22">
        <v>6.14</v>
      </c>
      <c r="N301" s="22">
        <v>7.11</v>
      </c>
      <c r="O301" s="22">
        <v>11.97</v>
      </c>
      <c r="P301" s="22">
        <v>22.24</v>
      </c>
      <c r="Q301" s="22">
        <v>21</v>
      </c>
      <c r="R301" s="22">
        <v>120</v>
      </c>
      <c r="S301" s="22">
        <v>118</v>
      </c>
      <c r="T301" s="3"/>
      <c r="U301" s="3"/>
      <c r="V301" s="6" t="s">
        <v>424</v>
      </c>
    </row>
    <row r="302" spans="1:22" ht="15" customHeight="1" x14ac:dyDescent="0.2">
      <c r="A302" s="3"/>
      <c r="B302" s="3"/>
      <c r="C302" s="3"/>
      <c r="D302" s="14" t="s">
        <v>682</v>
      </c>
      <c r="E302" s="3"/>
      <c r="F302" s="19" t="s">
        <v>667</v>
      </c>
      <c r="G302" s="6" t="s">
        <v>666</v>
      </c>
      <c r="H302" s="14" t="s">
        <v>647</v>
      </c>
      <c r="I302" s="8" t="s">
        <v>419</v>
      </c>
      <c r="J302" s="20" t="s">
        <v>26</v>
      </c>
      <c r="K302" s="22">
        <v>33.42</v>
      </c>
      <c r="L302" s="22">
        <v>18.97</v>
      </c>
      <c r="M302" s="22">
        <v>6.56</v>
      </c>
      <c r="N302" s="22">
        <v>7.16</v>
      </c>
      <c r="O302" s="22">
        <v>12.66</v>
      </c>
      <c r="P302" s="22">
        <v>20.420000000000002</v>
      </c>
      <c r="Q302" s="22">
        <v>22</v>
      </c>
      <c r="R302" s="22">
        <v>132</v>
      </c>
      <c r="S302" s="22">
        <v>125</v>
      </c>
      <c r="T302" s="3"/>
      <c r="U302" s="3"/>
      <c r="V302" s="6" t="s">
        <v>424</v>
      </c>
    </row>
    <row r="303" spans="1:22" ht="15" customHeight="1" x14ac:dyDescent="0.2">
      <c r="A303" s="3"/>
      <c r="B303" s="3"/>
      <c r="C303" s="3"/>
      <c r="D303" s="14" t="s">
        <v>682</v>
      </c>
      <c r="E303" s="3"/>
      <c r="F303" s="19" t="s">
        <v>668</v>
      </c>
      <c r="G303" s="6" t="s">
        <v>655</v>
      </c>
      <c r="H303" s="14" t="s">
        <v>647</v>
      </c>
      <c r="I303" s="8" t="s">
        <v>419</v>
      </c>
      <c r="J303" s="20" t="s">
        <v>26</v>
      </c>
      <c r="K303" s="22">
        <v>31.14</v>
      </c>
      <c r="L303" s="22">
        <v>18.27</v>
      </c>
      <c r="M303" s="22">
        <v>6.18</v>
      </c>
      <c r="N303" s="22">
        <v>8.02</v>
      </c>
      <c r="O303" s="22">
        <v>12.48</v>
      </c>
      <c r="P303" s="22">
        <v>23.85</v>
      </c>
      <c r="Q303" s="22">
        <v>21</v>
      </c>
      <c r="R303" s="22">
        <v>124</v>
      </c>
      <c r="S303" s="22">
        <v>127</v>
      </c>
      <c r="T303" s="3"/>
      <c r="U303" s="3"/>
      <c r="V303" s="6" t="s">
        <v>424</v>
      </c>
    </row>
    <row r="304" spans="1:22" ht="15" customHeight="1" x14ac:dyDescent="0.2">
      <c r="A304" s="3"/>
      <c r="B304" s="3"/>
      <c r="C304" s="3"/>
      <c r="D304" s="14" t="s">
        <v>682</v>
      </c>
      <c r="E304" s="3"/>
      <c r="F304" s="19" t="s">
        <v>669</v>
      </c>
      <c r="G304" s="6" t="s">
        <v>649</v>
      </c>
      <c r="H304" s="14" t="s">
        <v>647</v>
      </c>
      <c r="I304" s="8" t="s">
        <v>419</v>
      </c>
      <c r="J304" s="20" t="s">
        <v>26</v>
      </c>
      <c r="K304" s="22">
        <v>32.82</v>
      </c>
      <c r="L304" s="22">
        <v>18.75</v>
      </c>
      <c r="M304" s="21" t="s">
        <v>685</v>
      </c>
      <c r="N304" s="21" t="s">
        <v>125</v>
      </c>
      <c r="O304" s="22">
        <v>13.49</v>
      </c>
      <c r="P304" s="22">
        <v>22.4</v>
      </c>
      <c r="Q304" s="22">
        <v>23</v>
      </c>
      <c r="R304" s="22">
        <v>127</v>
      </c>
      <c r="S304" s="22">
        <v>125</v>
      </c>
      <c r="T304" s="3"/>
      <c r="U304" s="3"/>
      <c r="V304" s="6" t="s">
        <v>424</v>
      </c>
    </row>
    <row r="305" spans="1:22" ht="15" customHeight="1" x14ac:dyDescent="0.2">
      <c r="A305" s="3"/>
      <c r="B305" s="3"/>
      <c r="C305" s="3"/>
      <c r="D305" s="14" t="s">
        <v>682</v>
      </c>
      <c r="E305" s="3"/>
      <c r="F305" s="19" t="s">
        <v>670</v>
      </c>
      <c r="G305" s="6" t="s">
        <v>671</v>
      </c>
      <c r="H305" s="14" t="s">
        <v>647</v>
      </c>
      <c r="I305" s="8" t="s">
        <v>419</v>
      </c>
      <c r="J305" s="20" t="s">
        <v>26</v>
      </c>
      <c r="K305" s="22">
        <v>32.75</v>
      </c>
      <c r="L305" s="22">
        <v>19.14</v>
      </c>
      <c r="M305" s="22">
        <v>6.35</v>
      </c>
      <c r="N305" s="22">
        <v>7.89</v>
      </c>
      <c r="O305" s="22">
        <v>13.85</v>
      </c>
      <c r="P305" s="22">
        <v>23.76</v>
      </c>
      <c r="Q305" s="22">
        <v>26</v>
      </c>
      <c r="R305" s="22">
        <v>131</v>
      </c>
      <c r="S305" s="22">
        <v>128</v>
      </c>
      <c r="T305" s="3"/>
      <c r="U305" s="3"/>
      <c r="V305" s="6" t="s">
        <v>424</v>
      </c>
    </row>
    <row r="306" spans="1:22" ht="15" customHeight="1" x14ac:dyDescent="0.2">
      <c r="A306" s="3"/>
      <c r="B306" s="3"/>
      <c r="C306" s="3"/>
      <c r="D306" s="14" t="s">
        <v>682</v>
      </c>
      <c r="E306" s="3"/>
      <c r="F306" s="19" t="s">
        <v>672</v>
      </c>
      <c r="G306" s="6" t="s">
        <v>673</v>
      </c>
      <c r="H306" s="14" t="s">
        <v>647</v>
      </c>
      <c r="I306" s="8" t="s">
        <v>419</v>
      </c>
      <c r="J306" s="20" t="s">
        <v>26</v>
      </c>
      <c r="K306" s="22">
        <v>31.77</v>
      </c>
      <c r="L306" s="22">
        <v>19.29</v>
      </c>
      <c r="M306" s="22">
        <v>5.65</v>
      </c>
      <c r="N306" s="22">
        <v>8.17</v>
      </c>
      <c r="O306" s="22">
        <v>13.41</v>
      </c>
      <c r="P306" s="22">
        <v>24.39</v>
      </c>
      <c r="Q306" s="22">
        <v>24</v>
      </c>
      <c r="R306" s="22">
        <v>123</v>
      </c>
      <c r="S306" s="22">
        <v>125</v>
      </c>
      <c r="T306" s="3"/>
      <c r="U306" s="3"/>
      <c r="V306" s="6" t="s">
        <v>424</v>
      </c>
    </row>
    <row r="307" spans="1:22" ht="15" customHeight="1" x14ac:dyDescent="0.2">
      <c r="A307" s="3"/>
      <c r="B307" s="3"/>
      <c r="C307" s="3"/>
      <c r="D307" s="14" t="s">
        <v>682</v>
      </c>
      <c r="E307" s="3"/>
      <c r="F307" s="19" t="s">
        <v>674</v>
      </c>
      <c r="G307" s="6" t="s">
        <v>675</v>
      </c>
      <c r="H307" s="14" t="s">
        <v>647</v>
      </c>
      <c r="I307" s="8" t="s">
        <v>419</v>
      </c>
      <c r="J307" s="20" t="s">
        <v>26</v>
      </c>
      <c r="K307" s="22">
        <v>34.29</v>
      </c>
      <c r="L307" s="22">
        <v>20.350000000000001</v>
      </c>
      <c r="M307" s="22">
        <v>6.62</v>
      </c>
      <c r="N307" s="22">
        <v>8.65</v>
      </c>
      <c r="O307" s="22">
        <v>13.34</v>
      </c>
      <c r="P307" s="22">
        <v>24.62</v>
      </c>
      <c r="Q307" s="22">
        <v>21</v>
      </c>
      <c r="R307" s="22">
        <v>127</v>
      </c>
      <c r="S307" s="22">
        <v>114</v>
      </c>
      <c r="T307" s="3"/>
      <c r="U307" s="3"/>
      <c r="V307" s="6" t="s">
        <v>424</v>
      </c>
    </row>
    <row r="308" spans="1:22" ht="15" customHeight="1" x14ac:dyDescent="0.2">
      <c r="A308" s="3"/>
      <c r="B308" s="3"/>
      <c r="C308" s="3"/>
      <c r="D308" s="14" t="s">
        <v>682</v>
      </c>
      <c r="E308" s="3"/>
      <c r="F308" s="19" t="s">
        <v>676</v>
      </c>
      <c r="G308" s="6" t="s">
        <v>677</v>
      </c>
      <c r="H308" s="14" t="s">
        <v>647</v>
      </c>
      <c r="I308" s="8" t="s">
        <v>419</v>
      </c>
      <c r="J308" s="20" t="s">
        <v>26</v>
      </c>
      <c r="K308" s="22">
        <v>29.84</v>
      </c>
      <c r="L308" s="22">
        <v>17.41</v>
      </c>
      <c r="M308" s="22">
        <v>6.18</v>
      </c>
      <c r="N308" s="22">
        <v>8</v>
      </c>
      <c r="O308" s="22">
        <v>12.53</v>
      </c>
      <c r="P308" s="22">
        <v>22.68</v>
      </c>
      <c r="Q308" s="22">
        <v>23</v>
      </c>
      <c r="R308" s="22">
        <v>133</v>
      </c>
      <c r="S308" s="22">
        <v>131</v>
      </c>
      <c r="T308" s="3"/>
      <c r="U308" s="3"/>
      <c r="V308" s="6" t="s">
        <v>424</v>
      </c>
    </row>
    <row r="309" spans="1:22" ht="15" customHeight="1" x14ac:dyDescent="0.2">
      <c r="A309" s="3"/>
      <c r="B309" s="3"/>
      <c r="C309" s="3"/>
      <c r="D309" s="14" t="s">
        <v>682</v>
      </c>
      <c r="E309" s="3"/>
      <c r="F309" s="19" t="s">
        <v>678</v>
      </c>
      <c r="G309" s="6" t="s">
        <v>666</v>
      </c>
      <c r="H309" s="14" t="s">
        <v>647</v>
      </c>
      <c r="I309" s="8" t="s">
        <v>419</v>
      </c>
      <c r="J309" s="20" t="s">
        <v>26</v>
      </c>
      <c r="K309" s="22">
        <v>31.82</v>
      </c>
      <c r="L309" s="22">
        <v>18.32</v>
      </c>
      <c r="M309" s="22">
        <v>6.5</v>
      </c>
      <c r="N309" s="22">
        <v>7.38</v>
      </c>
      <c r="O309" s="22">
        <v>12.28</v>
      </c>
      <c r="P309" s="22">
        <v>23.84</v>
      </c>
      <c r="Q309" s="22">
        <v>25</v>
      </c>
      <c r="R309" s="22">
        <v>130</v>
      </c>
      <c r="S309" s="22">
        <v>135</v>
      </c>
      <c r="T309" s="3"/>
      <c r="U309" s="3"/>
      <c r="V309" s="6" t="s">
        <v>424</v>
      </c>
    </row>
    <row r="310" spans="1:22" ht="15" customHeight="1" x14ac:dyDescent="0.2">
      <c r="A310" s="3"/>
      <c r="B310" s="3"/>
      <c r="C310" s="3"/>
      <c r="D310" s="14" t="s">
        <v>682</v>
      </c>
      <c r="E310" s="3"/>
      <c r="F310" s="19" t="s">
        <v>679</v>
      </c>
      <c r="G310" s="6" t="s">
        <v>680</v>
      </c>
      <c r="H310" s="14" t="s">
        <v>647</v>
      </c>
      <c r="I310" s="8" t="s">
        <v>419</v>
      </c>
      <c r="J310" s="20" t="s">
        <v>30</v>
      </c>
      <c r="K310" s="22">
        <v>30.51</v>
      </c>
      <c r="L310" s="22">
        <v>17.100000000000001</v>
      </c>
      <c r="M310" s="22">
        <v>5.34</v>
      </c>
      <c r="N310" s="22">
        <v>7.24</v>
      </c>
      <c r="O310" s="22">
        <v>13.71</v>
      </c>
      <c r="P310" s="22">
        <v>24.67</v>
      </c>
      <c r="Q310" s="22">
        <v>21</v>
      </c>
      <c r="R310" s="22">
        <v>125</v>
      </c>
      <c r="S310" s="22">
        <v>120</v>
      </c>
      <c r="T310" s="3"/>
      <c r="U310" s="3"/>
      <c r="V310" s="6" t="s">
        <v>424</v>
      </c>
    </row>
    <row r="311" spans="1:22" ht="15" customHeight="1" x14ac:dyDescent="0.2">
      <c r="A311" s="3"/>
      <c r="B311" s="3"/>
      <c r="C311" s="3"/>
      <c r="D311" s="14" t="s">
        <v>682</v>
      </c>
      <c r="E311" s="3"/>
      <c r="F311" s="19" t="s">
        <v>681</v>
      </c>
      <c r="G311" s="6" t="s">
        <v>646</v>
      </c>
      <c r="H311" s="14" t="s">
        <v>647</v>
      </c>
      <c r="I311" s="8" t="s">
        <v>419</v>
      </c>
      <c r="J311" s="20" t="s">
        <v>26</v>
      </c>
      <c r="K311" s="22">
        <v>31.84</v>
      </c>
      <c r="L311" s="22">
        <v>17.97</v>
      </c>
      <c r="M311" s="22">
        <v>5.65</v>
      </c>
      <c r="N311" s="22">
        <v>7.87</v>
      </c>
      <c r="O311" s="22">
        <v>13.62</v>
      </c>
      <c r="P311" s="22">
        <v>22.48</v>
      </c>
      <c r="Q311" s="22">
        <v>26</v>
      </c>
      <c r="R311" s="22">
        <v>129</v>
      </c>
      <c r="S311" s="22">
        <v>125</v>
      </c>
      <c r="T311" s="3"/>
      <c r="U311" s="3"/>
      <c r="V311" s="6" t="s">
        <v>424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2026-04-06T17:23:12Z</dcterms:created>
  <dcterms:modified xsi:type="dcterms:W3CDTF">2026-04-06T17:34:42Z</dcterms:modified>
</cp:coreProperties>
</file>