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8CAA6B5F-D18D-5A4B-97D6-F186370FD28D}" xr6:coauthVersionLast="47" xr6:coauthVersionMax="47" xr10:uidLastSave="{00000000-0000-0000-0000-000000000000}"/>
  <bookViews>
    <workbookView xWindow="10000" yWindow="3260" windowWidth="29040" windowHeight="1572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36" i="1" l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2" i="1"/>
</calcChain>
</file>

<file path=xl/sharedStrings.xml><?xml version="1.0" encoding="utf-8"?>
<sst xmlns="http://schemas.openxmlformats.org/spreadsheetml/2006/main" count="22994" uniqueCount="9788">
  <si>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</si>
  <si>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</si>
  <si>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</si>
  <si>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</si>
  <si>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</si>
  <si>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</si>
  <si>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</si>
  <si>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</si>
  <si>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</si>
  <si>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</si>
  <si>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</si>
  <si>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</si>
  <si>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</si>
  <si>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</si>
  <si>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</si>
  <si>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</si>
  <si>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</si>
  <si>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</si>
  <si>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</si>
  <si>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</si>
  <si>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</si>
  <si>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</si>
  <si>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</si>
  <si>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</si>
  <si>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</si>
  <si>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</si>
  <si>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</si>
  <si>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</si>
  <si>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</si>
  <si>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</si>
  <si>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</si>
  <si>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</si>
  <si>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</si>
  <si>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</si>
  <si>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</si>
  <si>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</si>
  <si>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</si>
  <si>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</si>
  <si>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</si>
  <si>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</si>
  <si>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</si>
  <si>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</si>
  <si>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</si>
  <si>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</si>
  <si>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</si>
  <si>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</si>
  <si>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</si>
  <si>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</si>
  <si>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</si>
  <si>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</si>
  <si>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</si>
  <si>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</si>
  <si>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</si>
  <si>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</si>
  <si>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</si>
  <si>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</si>
  <si>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</si>
  <si>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</si>
  <si>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</si>
  <si>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</si>
  <si>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</si>
  <si>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</si>
  <si>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</si>
  <si>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</si>
  <si>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</si>
  <si>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</si>
  <si>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</si>
  <si>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</si>
  <si>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</si>
  <si>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</si>
  <si>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</si>
  <si>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</si>
  <si>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</si>
  <si>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</si>
  <si>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</si>
  <si>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</si>
  <si>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</si>
  <si>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</si>
  <si>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</si>
  <si>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</si>
  <si>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</si>
  <si>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</si>
  <si>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</si>
  <si>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</si>
  <si>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</si>
  <si>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</si>
  <si>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</si>
  <si>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</si>
  <si>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</si>
  <si>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</si>
  <si>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</si>
  <si>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</si>
  <si>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</si>
  <si>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</si>
  <si>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</si>
  <si>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</si>
  <si>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</si>
  <si>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</si>
  <si>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</si>
  <si>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</si>
  <si>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</si>
  <si>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</si>
  <si>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</si>
  <si>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</si>
  <si>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</si>
  <si>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</si>
  <si>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</si>
  <si>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</si>
  <si>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</si>
  <si>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</si>
  <si>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</si>
  <si>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</si>
  <si>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</si>
  <si>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</si>
  <si>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</si>
  <si>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</si>
  <si>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</si>
  <si>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</si>
  <si>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</si>
  <si>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</si>
  <si>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</si>
  <si>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</si>
  <si>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</si>
  <si>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</si>
  <si>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</si>
  <si>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</si>
  <si>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</si>
  <si>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</si>
  <si>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</si>
  <si>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</si>
  <si>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</si>
  <si>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</si>
  <si>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</si>
  <si>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</si>
  <si>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</si>
  <si>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</si>
  <si>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</si>
  <si>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</si>
  <si>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</si>
  <si>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</si>
  <si>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</si>
  <si>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</si>
  <si>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</si>
  <si>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</si>
  <si>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</si>
  <si>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</si>
  <si>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</si>
  <si>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</si>
  <si>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</si>
  <si>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</si>
  <si>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</si>
  <si>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</si>
  <si>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</si>
  <si>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</si>
  <si>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</si>
  <si>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</si>
  <si>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</si>
  <si>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</si>
  <si>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</si>
  <si>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</si>
  <si>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</si>
  <si>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</si>
  <si>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</si>
  <si>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</si>
  <si>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</si>
  <si>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</si>
  <si>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</si>
  <si>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</si>
  <si>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</si>
  <si>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</si>
  <si>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</si>
  <si>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</si>
  <si>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</si>
  <si>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</si>
  <si>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</si>
  <si>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</si>
  <si>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</si>
  <si>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</si>
  <si>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</si>
  <si>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</si>
  <si>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</si>
  <si>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</si>
  <si>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</si>
  <si>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</si>
  <si>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</si>
  <si>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</si>
  <si>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</si>
  <si>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</si>
  <si>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</si>
  <si>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</si>
  <si>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</si>
  <si>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</si>
  <si>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</si>
  <si>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</si>
  <si>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</si>
  <si>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</si>
  <si>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</si>
  <si>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</si>
  <si>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</si>
  <si>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</si>
  <si>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</si>
  <si>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</si>
  <si>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</si>
  <si>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</si>
  <si>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</si>
  <si>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</si>
  <si>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</si>
  <si>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</si>
  <si>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</si>
  <si>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</si>
  <si>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</si>
  <si>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</si>
  <si>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</si>
  <si>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</si>
  <si>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</si>
  <si>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</si>
  <si>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</si>
  <si>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</si>
  <si>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</si>
  <si>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</si>
  <si>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</si>
  <si>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</si>
  <si>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</si>
  <si>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</si>
  <si>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</si>
  <si>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</si>
  <si>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</si>
  <si>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</si>
  <si>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</si>
  <si>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</si>
  <si>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</si>
  <si>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</si>
  <si>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</si>
  <si>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</si>
  <si>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</si>
  <si>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</si>
  <si>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</si>
  <si>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</si>
  <si>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</si>
  <si>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</si>
  <si>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</si>
  <si>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</si>
  <si>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</si>
  <si>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</si>
  <si>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</si>
  <si>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</si>
  <si>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</si>
  <si>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</si>
  <si>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</si>
  <si>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</si>
  <si>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</si>
  <si>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</si>
  <si>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</si>
  <si>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</si>
  <si>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</si>
  <si>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</si>
  <si>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</si>
  <si>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</si>
  <si>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</si>
  <si>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</si>
  <si>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</si>
  <si>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</si>
  <si>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</si>
  <si>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</si>
  <si>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</si>
  <si>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</si>
  <si>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</si>
  <si>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</si>
  <si>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</si>
  <si>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</si>
  <si>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</si>
  <si>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</si>
  <si>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</si>
  <si>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</si>
  <si>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</si>
  <si>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</si>
  <si>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</si>
  <si>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</si>
  <si>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</si>
  <si>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</si>
  <si>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</si>
  <si>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</si>
  <si>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</si>
  <si>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</si>
  <si>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</si>
  <si>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</si>
  <si>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</si>
  <si>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</si>
  <si>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</si>
  <si>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</si>
  <si>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</si>
  <si>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</si>
  <si>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</si>
  <si>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</si>
  <si>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</si>
  <si>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</si>
  <si>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</si>
  <si>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</si>
  <si>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</si>
  <si>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</si>
  <si>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</si>
  <si>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</si>
  <si>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</si>
  <si>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</si>
  <si>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</si>
  <si>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</si>
  <si>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</si>
  <si>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</si>
  <si>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</si>
  <si>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</si>
  <si>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</si>
  <si>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</si>
  <si>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</si>
  <si>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</si>
  <si>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</si>
  <si>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</si>
  <si>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</si>
  <si>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</si>
  <si>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</si>
  <si>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</si>
  <si>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</si>
  <si>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</si>
  <si>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</si>
  <si>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</si>
  <si>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</si>
  <si>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</si>
  <si>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</si>
  <si>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</si>
  <si>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</si>
  <si>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</si>
  <si>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</si>
  <si>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</si>
  <si>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</si>
  <si>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</si>
  <si>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</si>
  <si>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</si>
  <si>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</si>
  <si>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</si>
  <si>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</si>
  <si>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</si>
  <si>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</si>
  <si>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</si>
  <si>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</si>
  <si>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</si>
  <si>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</si>
  <si>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</si>
  <si>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</si>
  <si>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</si>
  <si>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</si>
  <si>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</si>
  <si>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</si>
  <si>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</si>
  <si>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</si>
  <si>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</si>
  <si>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</si>
  <si>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</si>
  <si>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</si>
  <si>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</si>
  <si>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</si>
  <si>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</si>
  <si>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</si>
  <si>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</si>
  <si>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</si>
  <si>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</si>
  <si>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</si>
  <si>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</si>
  <si>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</si>
  <si>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</si>
  <si>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</si>
  <si>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</si>
  <si>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</si>
  <si>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</si>
  <si>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</si>
  <si>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</si>
  <si>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</si>
  <si>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</si>
  <si>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</si>
  <si>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</si>
  <si>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</si>
  <si>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</si>
  <si>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</si>
  <si>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</si>
  <si>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</si>
  <si>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</si>
  <si>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</si>
  <si>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</si>
  <si>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</si>
  <si>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</si>
  <si>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</si>
  <si>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</si>
  <si>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</si>
  <si>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</si>
  <si>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</si>
  <si>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</si>
  <si>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</si>
  <si>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</si>
  <si>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</si>
  <si>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</si>
  <si>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</si>
  <si>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</si>
  <si>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</si>
  <si>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</si>
  <si>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</si>
  <si>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</si>
  <si>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</si>
  <si>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</si>
  <si>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</si>
  <si>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</si>
  <si>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</si>
  <si>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</si>
  <si>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</si>
  <si>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</si>
  <si>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</si>
  <si>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</si>
  <si>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</si>
  <si>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</si>
  <si>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</si>
  <si>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</si>
  <si>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</si>
  <si>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</si>
  <si>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</si>
  <si>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</si>
  <si>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</si>
  <si>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</si>
  <si>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</si>
  <si>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</si>
  <si>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</si>
  <si>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</si>
  <si>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</si>
  <si>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</si>
  <si>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</si>
  <si>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</si>
  <si>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</si>
  <si>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</si>
  <si>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</si>
  <si>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</si>
  <si>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</si>
  <si>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</si>
  <si>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</si>
  <si>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</si>
  <si>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</si>
  <si>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</si>
  <si>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</si>
  <si>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</si>
  <si>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</si>
  <si>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</si>
  <si>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</si>
  <si>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</si>
  <si>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</si>
  <si>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</si>
  <si>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</si>
  <si>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</si>
  <si>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</si>
  <si>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</si>
  <si>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</si>
  <si>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</si>
  <si>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</si>
  <si>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</si>
  <si>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</si>
  <si>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</si>
  <si>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</si>
  <si>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</si>
  <si>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</si>
  <si>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</si>
  <si>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</si>
  <si>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</si>
  <si>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</si>
  <si>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</si>
  <si>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</si>
  <si>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</si>
  <si>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</si>
  <si>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</si>
  <si>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</si>
  <si>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</si>
  <si>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</si>
  <si>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</si>
  <si>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</si>
  <si>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</si>
  <si>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</si>
  <si>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</si>
  <si>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</si>
  <si>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</si>
  <si>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</si>
  <si>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</si>
  <si>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</si>
  <si>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</si>
  <si>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</si>
  <si>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</si>
  <si>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</si>
  <si>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</si>
  <si>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</si>
  <si>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</si>
  <si>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</si>
  <si>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</si>
  <si>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</si>
  <si>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</si>
  <si>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</si>
  <si>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</si>
  <si>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</si>
  <si>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</si>
  <si>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</si>
  <si>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</si>
  <si>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</si>
  <si>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</si>
  <si>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</si>
  <si>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</si>
  <si>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</si>
  <si>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</si>
  <si>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</si>
  <si>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</si>
  <si>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</si>
  <si>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</si>
  <si>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</si>
  <si>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</si>
  <si>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</si>
  <si>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</si>
  <si>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</si>
  <si>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</si>
  <si>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</si>
  <si>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</si>
  <si>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</si>
  <si>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</si>
  <si>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</si>
  <si>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</si>
  <si>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</si>
  <si>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</si>
  <si>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</si>
  <si>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</si>
  <si>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</si>
  <si>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</si>
  <si>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</si>
  <si>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</si>
  <si>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</si>
  <si>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</si>
  <si>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</si>
  <si>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</si>
  <si>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</si>
  <si>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</si>
  <si>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</si>
  <si>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</si>
  <si>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</si>
  <si>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</si>
  <si>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</si>
  <si>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</si>
  <si>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</si>
  <si>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</si>
  <si>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</si>
  <si>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</si>
  <si>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</si>
  <si>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</si>
  <si>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</si>
  <si>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</si>
  <si>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</si>
  <si>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</si>
  <si>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</si>
  <si>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</si>
  <si>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</si>
  <si>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</si>
  <si>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</si>
  <si>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</si>
  <si>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</si>
  <si>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</si>
  <si>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</si>
  <si>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</si>
  <si>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</si>
  <si>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</si>
  <si>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</si>
  <si>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</si>
  <si>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</si>
  <si>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</si>
  <si>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</si>
  <si>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</si>
  <si>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</si>
  <si>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</si>
  <si>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</si>
  <si>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</si>
  <si>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</si>
  <si>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</si>
  <si>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</si>
  <si>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</si>
  <si>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</si>
  <si>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</si>
  <si>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</si>
  <si>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</si>
  <si>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</si>
  <si>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</si>
  <si>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</si>
  <si>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</si>
  <si>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</si>
  <si>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</si>
  <si>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</si>
  <si>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</si>
  <si>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</si>
  <si>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</si>
  <si>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</si>
  <si>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</si>
  <si>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</si>
  <si>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</si>
  <si>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</si>
  <si>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</si>
  <si>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</si>
  <si>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</si>
  <si>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</si>
  <si>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</si>
  <si>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</si>
  <si>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</si>
  <si>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</si>
  <si>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</si>
  <si>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</si>
  <si>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</si>
  <si>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</si>
  <si>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</si>
  <si>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</si>
  <si>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</si>
  <si>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</si>
  <si>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</si>
  <si>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</si>
  <si>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</si>
  <si>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</si>
  <si>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</si>
  <si>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</si>
  <si>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</si>
  <si>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</si>
  <si>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</si>
  <si>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</si>
  <si>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</si>
  <si>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</si>
  <si>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</si>
  <si>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</si>
  <si>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</si>
  <si>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</si>
  <si>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</si>
  <si>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</si>
  <si>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</si>
  <si>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</si>
  <si>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</si>
  <si>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</si>
  <si>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</si>
  <si>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</si>
  <si>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</si>
  <si>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</si>
  <si>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</si>
  <si>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</si>
  <si>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</si>
  <si>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</si>
  <si>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</si>
  <si>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</si>
  <si>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</si>
  <si>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</si>
  <si>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</si>
  <si>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</si>
  <si>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</si>
  <si>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</si>
  <si>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</si>
  <si>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</si>
  <si>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</si>
  <si>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</si>
  <si>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</si>
  <si>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</si>
  <si>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</si>
  <si>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</si>
  <si>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</si>
  <si>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</si>
  <si>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</si>
  <si>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</si>
  <si>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</si>
  <si>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</si>
  <si>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</si>
  <si>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</si>
  <si>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</si>
  <si>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</si>
  <si>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</si>
  <si>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</si>
  <si>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</si>
  <si>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</si>
  <si>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</si>
  <si>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</si>
  <si>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</si>
  <si>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</si>
  <si>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</si>
  <si>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</si>
  <si>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</si>
  <si>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</si>
  <si>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</si>
  <si>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</si>
  <si>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</si>
  <si>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</si>
  <si>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</si>
  <si>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</si>
  <si>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</si>
  <si>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</si>
  <si>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</si>
  <si>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</si>
  <si>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</si>
  <si>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</si>
  <si>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</si>
  <si>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</si>
  <si>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</si>
  <si>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</si>
  <si>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</si>
  <si>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</si>
  <si>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</si>
  <si>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</si>
  <si>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</si>
  <si>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</si>
  <si>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</si>
  <si>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</si>
  <si>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</si>
  <si>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</si>
  <si>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</si>
  <si>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</si>
  <si>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</si>
  <si>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</si>
  <si>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</si>
  <si>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</si>
  <si>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</si>
  <si>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</si>
  <si>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</si>
  <si>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</si>
  <si>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</si>
  <si>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</si>
  <si>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</si>
  <si>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</si>
  <si>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</si>
  <si>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</si>
  <si>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</si>
  <si>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</si>
  <si>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</si>
  <si>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</si>
  <si>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</si>
  <si>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</si>
  <si>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</si>
  <si>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</si>
  <si>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</si>
  <si>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</si>
  <si>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</si>
  <si>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</si>
  <si>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</si>
  <si>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</si>
  <si>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</si>
  <si>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</si>
  <si>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</si>
  <si>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</si>
  <si>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</si>
  <si>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</si>
  <si>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</si>
  <si>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</si>
  <si>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</si>
  <si>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</si>
  <si>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</si>
  <si>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</si>
  <si>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</si>
  <si>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</si>
  <si>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</si>
  <si>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</si>
  <si>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</si>
  <si>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</si>
  <si>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</si>
  <si>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</si>
  <si>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</si>
  <si>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</si>
  <si>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</si>
  <si>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</si>
  <si>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</si>
  <si>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</si>
  <si>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</si>
  <si>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</si>
  <si>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</si>
  <si>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</si>
  <si>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</si>
  <si>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</si>
  <si>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</si>
  <si>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</si>
  <si>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</si>
  <si>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</si>
  <si>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</si>
  <si>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</si>
  <si>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</si>
  <si>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</si>
  <si>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</si>
  <si>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</si>
  <si>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</si>
  <si>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</si>
  <si>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</si>
  <si>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</si>
  <si>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</si>
  <si>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</si>
  <si>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</si>
  <si>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</si>
  <si>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</si>
  <si>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</si>
  <si>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</si>
  <si>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</si>
  <si>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</si>
  <si>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</si>
  <si>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</si>
  <si>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</si>
  <si>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</si>
  <si>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</si>
  <si>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</si>
  <si>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</si>
  <si>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</si>
  <si>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</si>
  <si>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</si>
  <si>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</si>
  <si>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</si>
  <si>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</si>
  <si>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</si>
  <si>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</si>
  <si>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</si>
  <si>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</si>
  <si>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</si>
  <si>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</si>
  <si>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</si>
  <si>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</si>
  <si>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</si>
  <si>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</si>
  <si>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</si>
  <si>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</si>
  <si>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</si>
  <si>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</si>
  <si>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</si>
  <si>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</si>
  <si>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</si>
  <si>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</si>
  <si>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</si>
  <si>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</si>
  <si>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</si>
  <si>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</si>
  <si>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</si>
  <si>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</si>
  <si>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</si>
  <si>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</si>
  <si>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</si>
  <si>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</si>
  <si>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</si>
  <si>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</si>
  <si>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</si>
  <si>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</si>
  <si>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</si>
  <si>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</si>
  <si>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</si>
  <si>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</si>
  <si>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</si>
  <si>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</si>
  <si>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</si>
  <si>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</si>
  <si>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</si>
  <si>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</si>
  <si>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</si>
  <si>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</si>
  <si>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</si>
  <si>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</si>
  <si>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</si>
  <si>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</si>
  <si>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</si>
  <si>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</si>
  <si>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</si>
  <si>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</si>
  <si>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</si>
  <si>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</si>
  <si>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</si>
  <si>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</si>
  <si>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</si>
  <si>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</si>
  <si>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</si>
  <si>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</si>
  <si>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</si>
  <si>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</si>
  <si>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</si>
  <si>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</si>
  <si>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</si>
  <si>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</si>
  <si>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</si>
  <si>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</si>
  <si>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</si>
  <si>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</si>
  <si>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</si>
  <si>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</si>
  <si>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</si>
  <si>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</si>
  <si>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</si>
  <si>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</si>
  <si>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</si>
  <si>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</si>
  <si>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</si>
  <si>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</si>
  <si>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</si>
  <si>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</si>
  <si>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</si>
  <si>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</si>
  <si>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</si>
  <si>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</si>
  <si>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</si>
  <si>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</si>
  <si>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</si>
  <si>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</si>
  <si>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</si>
  <si>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</si>
  <si>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</si>
  <si>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</si>
  <si>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</si>
  <si>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</si>
  <si>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</si>
  <si>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</si>
  <si>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</si>
  <si>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</si>
  <si>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</si>
  <si>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</si>
  <si>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</si>
  <si>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</si>
  <si>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</si>
  <si>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</si>
  <si>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</si>
  <si>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</si>
  <si>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</si>
  <si>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</si>
  <si>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</si>
  <si>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</si>
  <si>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</si>
  <si>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</si>
  <si>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</si>
  <si>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</si>
  <si>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</si>
  <si>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</si>
  <si>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</si>
  <si>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</si>
  <si>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</si>
  <si>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</si>
  <si>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</si>
  <si>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</si>
  <si>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</si>
  <si>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</si>
  <si>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</si>
  <si>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</si>
  <si>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</si>
  <si>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</si>
  <si>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</si>
  <si>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</si>
  <si>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</si>
  <si>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</si>
  <si>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</si>
  <si>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</si>
  <si>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</si>
  <si>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</si>
  <si>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</si>
  <si>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</si>
  <si>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</si>
  <si>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</si>
  <si>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</si>
  <si>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</si>
  <si>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</si>
  <si>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</si>
  <si>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</si>
  <si>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</si>
  <si>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</si>
  <si>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</si>
  <si>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</si>
  <si>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</si>
  <si>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</si>
  <si>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</si>
  <si>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</si>
  <si>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</si>
  <si>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</si>
  <si>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</si>
  <si>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</si>
  <si>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</si>
  <si>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</si>
  <si>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</si>
  <si>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</si>
  <si>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</si>
  <si>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</si>
  <si>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</si>
  <si>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</si>
  <si>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</si>
  <si>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</si>
  <si>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</si>
  <si>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</si>
  <si>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</si>
  <si>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</si>
  <si>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</si>
  <si>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</si>
  <si>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</si>
  <si>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</si>
  <si>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</si>
  <si>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</si>
  <si>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</si>
  <si>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</si>
  <si>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</si>
  <si>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</si>
  <si>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</si>
  <si>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</si>
  <si>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</si>
  <si>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</si>
  <si>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</si>
  <si>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</si>
  <si>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</si>
  <si>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</si>
  <si>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</si>
  <si>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</si>
  <si>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</si>
  <si>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</si>
  <si>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</si>
  <si>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</si>
  <si>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</si>
  <si>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</si>
  <si>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</si>
  <si>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</si>
  <si>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</si>
  <si>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</si>
  <si>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</si>
  <si>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</si>
  <si>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</si>
  <si>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</si>
  <si>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</si>
  <si>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</si>
  <si>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</si>
  <si>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</si>
  <si>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</si>
  <si>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</si>
  <si>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</si>
  <si>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</si>
  <si>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</si>
  <si>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</si>
  <si>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</si>
  <si>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</si>
  <si>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</si>
  <si>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</si>
  <si>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</si>
  <si>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</si>
  <si>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</si>
  <si>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</si>
  <si>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</si>
  <si>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</si>
  <si>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</si>
  <si>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</si>
  <si>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</si>
  <si>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</si>
  <si>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</si>
  <si>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</si>
  <si>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</si>
  <si>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</si>
  <si>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</si>
  <si>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</si>
  <si>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</si>
  <si>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</si>
  <si>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</si>
  <si>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</si>
  <si>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</si>
  <si>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</si>
  <si>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</si>
  <si>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</si>
  <si>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</si>
  <si>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</si>
  <si>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</si>
  <si>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</si>
  <si>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</si>
  <si>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</si>
  <si>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</si>
  <si>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</si>
  <si>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</si>
  <si>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</si>
  <si>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</si>
  <si>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</si>
  <si>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</si>
  <si>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</si>
  <si>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</si>
  <si>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</si>
  <si>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</si>
  <si>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</si>
  <si>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</si>
  <si>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</si>
  <si>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</si>
  <si>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</si>
  <si>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</si>
  <si>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</si>
  <si>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</si>
  <si>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</si>
  <si>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</si>
  <si>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</si>
  <si>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</si>
  <si>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</si>
  <si>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</si>
  <si>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</si>
  <si>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</si>
  <si>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</si>
  <si>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</si>
  <si>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</si>
  <si>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</si>
  <si>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</si>
  <si>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</si>
  <si>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</si>
  <si>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</si>
  <si>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</si>
  <si>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</si>
  <si>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</si>
  <si>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</si>
  <si>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</si>
  <si>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</si>
  <si>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</si>
  <si>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</si>
  <si>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</si>
  <si>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</si>
  <si>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</si>
  <si>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</si>
  <si>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</si>
  <si>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</si>
  <si>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</si>
  <si>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</si>
  <si>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</si>
  <si>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</si>
  <si>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</si>
  <si>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</si>
  <si>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</si>
  <si>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</si>
  <si>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</si>
  <si>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</si>
  <si>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</si>
  <si>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</si>
  <si>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</si>
  <si>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</si>
  <si>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</si>
  <si>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</si>
  <si>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</si>
  <si>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</si>
  <si>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</si>
  <si>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</si>
  <si>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</si>
  <si>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</si>
  <si>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</si>
  <si>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</si>
  <si>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</si>
  <si>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</si>
  <si>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</si>
  <si>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</si>
  <si>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</si>
  <si>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</si>
  <si>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</si>
  <si>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</si>
  <si>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</si>
  <si>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</si>
  <si>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</si>
  <si>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</si>
  <si>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</si>
  <si>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</si>
  <si>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</si>
  <si>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</si>
  <si>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</si>
  <si>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</si>
  <si>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</si>
  <si>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</si>
  <si>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</si>
  <si>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</si>
  <si>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</si>
  <si>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</si>
  <si>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</si>
  <si>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</si>
  <si>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</si>
  <si>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</si>
  <si>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</si>
  <si>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</si>
  <si>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</si>
  <si>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</si>
  <si>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</si>
  <si>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</si>
  <si>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</si>
  <si>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</si>
  <si>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</si>
  <si>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</si>
  <si>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</si>
  <si>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</si>
  <si>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</si>
  <si>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</si>
  <si>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</si>
  <si>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</si>
  <si>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</si>
  <si>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</si>
  <si>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</si>
  <si>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</si>
  <si>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</si>
  <si>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</si>
  <si>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</si>
  <si>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</si>
  <si>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</si>
  <si>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</si>
  <si>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</si>
  <si>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</si>
  <si>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</si>
  <si>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</si>
  <si>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</si>
  <si>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</si>
  <si>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</si>
  <si>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</si>
  <si>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</si>
  <si>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</si>
  <si>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</si>
  <si>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</si>
  <si>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</si>
  <si>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</si>
  <si>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</si>
  <si>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</si>
  <si>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</si>
  <si>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</si>
  <si>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</si>
  <si>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</si>
  <si>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</si>
  <si>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</si>
  <si>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</si>
  <si>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</si>
  <si>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</si>
  <si>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</si>
  <si>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</si>
  <si>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</si>
  <si>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</si>
  <si>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</si>
  <si>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</si>
  <si>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</si>
  <si>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</si>
  <si>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</si>
  <si>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</si>
  <si>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</si>
  <si>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</si>
  <si>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</si>
  <si>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</si>
  <si>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</si>
  <si>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</si>
  <si>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</si>
  <si>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</si>
  <si>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</si>
  <si>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</si>
  <si>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</si>
  <si>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</si>
  <si>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</si>
  <si>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</si>
  <si>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</si>
  <si>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</si>
  <si>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</si>
  <si>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</si>
  <si>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</si>
  <si>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</si>
  <si>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</si>
  <si>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</si>
  <si>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</si>
  <si>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</si>
  <si>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</si>
  <si>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</si>
  <si>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</si>
  <si>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</si>
  <si>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</si>
  <si>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</si>
  <si>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</si>
  <si>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</si>
  <si>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</si>
  <si>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</si>
  <si>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</si>
  <si>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</si>
  <si>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</si>
  <si>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</si>
  <si>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</si>
  <si>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</si>
  <si>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</si>
  <si>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</si>
  <si>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</si>
  <si>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</si>
  <si>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</si>
  <si>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</si>
  <si>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</si>
  <si>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</si>
  <si>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</si>
  <si>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</si>
  <si>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</si>
  <si>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</si>
  <si>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</si>
  <si>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</si>
  <si>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</si>
  <si>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</si>
  <si>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</si>
  <si>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</si>
  <si>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</si>
  <si>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</si>
  <si>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</si>
  <si>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</si>
  <si>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</si>
  <si>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</si>
  <si>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</si>
  <si>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</si>
  <si>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</si>
  <si>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</si>
  <si>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</si>
  <si>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</si>
  <si>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</si>
  <si>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</si>
  <si>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</si>
  <si>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</si>
  <si>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</si>
  <si>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</si>
  <si>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</si>
  <si>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</si>
  <si>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</si>
  <si>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</si>
  <si>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</si>
  <si>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</si>
  <si>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</si>
  <si>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</si>
  <si>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</si>
  <si>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</si>
  <si>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</si>
  <si>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</si>
  <si>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</si>
  <si>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</si>
  <si>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</si>
  <si>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</si>
  <si>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</si>
  <si>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</si>
  <si>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</si>
  <si>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</si>
  <si>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</si>
  <si>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</si>
  <si>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</si>
  <si>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</si>
  <si>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</si>
  <si>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</si>
  <si>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</si>
  <si>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</si>
  <si>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</si>
  <si>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</si>
  <si>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</si>
  <si>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</si>
  <si>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</si>
  <si>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</si>
  <si>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</si>
  <si>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</si>
  <si>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</si>
  <si>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</si>
  <si>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</si>
  <si>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</si>
  <si>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</si>
  <si>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</si>
  <si>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</si>
  <si>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</si>
  <si>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</si>
  <si>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</si>
  <si>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</si>
  <si>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</si>
  <si>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</si>
  <si>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</si>
  <si>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</si>
  <si>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</si>
  <si>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</si>
  <si>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</si>
  <si>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</si>
  <si>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</si>
  <si>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</si>
  <si>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</si>
  <si>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</si>
  <si>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</si>
  <si>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</si>
  <si>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</si>
  <si>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</si>
  <si>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</si>
  <si>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</si>
  <si>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</si>
  <si>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</si>
  <si>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</si>
  <si>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</si>
  <si>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</si>
  <si>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</si>
  <si>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</si>
  <si>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</si>
  <si>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</si>
  <si>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</si>
  <si>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</si>
  <si>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</si>
  <si>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</si>
  <si>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</si>
  <si>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</si>
  <si>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</si>
  <si>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</si>
  <si>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</si>
  <si>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</si>
  <si>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</si>
  <si>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</si>
  <si>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</si>
  <si>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</si>
  <si>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</si>
  <si>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</si>
  <si>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</si>
  <si>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</si>
  <si>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</si>
  <si>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</si>
  <si>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</si>
  <si>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</si>
  <si>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</si>
  <si>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</si>
  <si>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</si>
  <si>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</si>
  <si>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</si>
  <si>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</si>
  <si>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</si>
  <si>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</si>
  <si>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</si>
  <si>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</si>
  <si>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</si>
  <si>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</si>
  <si>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</si>
  <si>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</si>
  <si>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</si>
  <si>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</si>
  <si>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</si>
  <si>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</si>
  <si>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</si>
  <si>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</si>
  <si>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</si>
  <si>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</si>
  <si>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</si>
  <si>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</si>
  <si>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</si>
  <si>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</si>
  <si>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</si>
  <si>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</si>
  <si>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</si>
  <si>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</si>
  <si>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</si>
  <si>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</si>
  <si>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</si>
  <si>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</si>
  <si>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</si>
  <si>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</si>
  <si>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</si>
  <si>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</si>
  <si>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</si>
  <si>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</si>
  <si>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</si>
  <si>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</si>
  <si>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</si>
  <si>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</si>
  <si>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</si>
  <si>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</si>
  <si>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</si>
  <si>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</si>
  <si>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</si>
  <si>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</si>
  <si>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</si>
  <si>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</si>
  <si>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</si>
  <si>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</si>
  <si>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</si>
  <si>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</si>
  <si>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</si>
  <si>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</si>
  <si>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</si>
  <si>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</si>
  <si>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</si>
  <si>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</si>
  <si>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</si>
  <si>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</si>
  <si>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</si>
  <si>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</si>
  <si>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</si>
  <si>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</si>
  <si>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</si>
  <si>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</si>
  <si>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</si>
  <si>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</si>
  <si>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</si>
  <si>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</si>
  <si>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</si>
  <si>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</si>
  <si>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</si>
  <si>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</si>
  <si>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</si>
  <si>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</si>
  <si>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</si>
  <si>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</si>
  <si>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</si>
  <si>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</si>
  <si>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</si>
  <si>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</si>
  <si>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</si>
  <si>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</si>
  <si>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</si>
  <si>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</si>
  <si>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</si>
  <si>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</si>
  <si>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</si>
  <si>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</si>
  <si>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</si>
  <si>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</si>
  <si>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</si>
  <si>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</si>
  <si>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</si>
  <si>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</si>
  <si>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</si>
  <si>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</si>
  <si>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</si>
  <si>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</si>
  <si>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</si>
  <si>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</si>
  <si>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</si>
  <si>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</si>
  <si>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</si>
  <si>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</si>
  <si>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</si>
  <si>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</si>
  <si>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</si>
  <si>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</si>
  <si>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</si>
  <si>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</si>
  <si>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</si>
  <si>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</si>
  <si>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</si>
  <si>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</si>
  <si>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</si>
  <si>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</si>
  <si>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</si>
  <si>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</si>
  <si>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</si>
  <si>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</si>
  <si>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</si>
  <si>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</si>
  <si>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</si>
  <si>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</si>
  <si>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</si>
  <si>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</si>
  <si>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</si>
  <si>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</si>
  <si>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</si>
  <si>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</si>
  <si>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</si>
  <si>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</si>
  <si>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</si>
  <si>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</si>
  <si>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</si>
  <si>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</si>
  <si>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</si>
  <si>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</si>
  <si>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</si>
  <si>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</si>
  <si>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</si>
  <si>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</si>
  <si>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</si>
  <si>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</si>
  <si>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</si>
  <si>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</si>
  <si>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</si>
  <si>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</si>
  <si>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</si>
  <si>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</si>
  <si>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</si>
  <si>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</si>
  <si>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</si>
  <si>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</si>
  <si>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</si>
  <si>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</si>
  <si>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</si>
  <si>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</si>
  <si>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</si>
  <si>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</si>
  <si>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</si>
  <si>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</si>
  <si>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</si>
  <si>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</si>
  <si>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</si>
  <si>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</si>
  <si>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</si>
  <si>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</si>
  <si>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</si>
  <si>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</si>
  <si>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</si>
  <si>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</si>
  <si>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</si>
  <si>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</si>
  <si>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</si>
  <si>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</si>
  <si>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</si>
  <si>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</si>
  <si>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</si>
  <si>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</si>
  <si>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</si>
  <si>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</si>
  <si>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</si>
  <si>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</si>
  <si>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</si>
  <si>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</si>
  <si>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</si>
  <si>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</si>
  <si>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</si>
  <si>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</si>
  <si>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</si>
  <si>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</si>
  <si>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</si>
  <si>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</si>
  <si>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</si>
  <si>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</si>
  <si>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</si>
  <si>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</si>
  <si>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</si>
  <si>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</si>
  <si>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</si>
  <si>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</si>
  <si>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</si>
  <si>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</si>
  <si>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</si>
  <si>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</si>
  <si>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</si>
  <si>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</si>
  <si>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</si>
  <si>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</si>
  <si>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</si>
  <si>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</si>
  <si>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</si>
  <si>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</si>
  <si>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</si>
  <si>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</si>
  <si>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</si>
  <si>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</si>
  <si>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</si>
  <si>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</si>
  <si>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</si>
  <si>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</si>
  <si>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</si>
  <si>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</si>
  <si>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</si>
  <si>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</si>
  <si>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</si>
  <si>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</si>
  <si>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</si>
  <si>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</si>
  <si>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</si>
  <si>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</si>
  <si>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</si>
  <si>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</si>
  <si>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</si>
  <si>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</si>
  <si>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</si>
  <si>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</si>
  <si>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</si>
  <si>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</si>
  <si>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</si>
  <si>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</si>
  <si>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</si>
  <si>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</si>
  <si>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</si>
  <si>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</si>
  <si>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</si>
  <si>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</si>
  <si>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</si>
  <si>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</si>
  <si>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</si>
  <si>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</si>
  <si>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</si>
  <si>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</si>
  <si>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</si>
  <si>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</si>
  <si>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</si>
  <si>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</si>
  <si>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</si>
  <si>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</si>
  <si>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</si>
  <si>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</si>
  <si>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</si>
  <si>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</si>
  <si>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</si>
  <si>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</si>
  <si>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</si>
  <si>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</si>
  <si>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</si>
  <si>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</si>
  <si>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</si>
  <si>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</si>
  <si>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</si>
  <si>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</si>
  <si>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</si>
  <si>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</si>
  <si>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</si>
  <si>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</si>
  <si>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</si>
  <si>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</si>
  <si>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</si>
  <si>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</si>
  <si>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</si>
  <si>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</si>
  <si>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</si>
  <si>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</si>
  <si>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</si>
  <si>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</si>
  <si>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</si>
  <si>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</si>
  <si>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</si>
  <si>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</si>
  <si>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</si>
  <si>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</si>
  <si>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</si>
  <si>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</si>
  <si>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</si>
  <si>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</si>
  <si>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</si>
  <si>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</si>
  <si>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</si>
  <si>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</si>
  <si>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</si>
  <si>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</si>
  <si>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</si>
  <si>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</si>
  <si>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</si>
  <si>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</si>
  <si>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</si>
  <si>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</si>
  <si>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</si>
  <si>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</si>
  <si>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</si>
  <si>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</si>
  <si>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</si>
  <si>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</si>
  <si>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</si>
  <si>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</si>
  <si>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</si>
  <si>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</si>
  <si>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</si>
  <si>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</si>
  <si>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</si>
  <si>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</si>
  <si>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</si>
  <si>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</si>
  <si>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</si>
  <si>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</si>
  <si>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</si>
  <si>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</si>
  <si>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</si>
  <si>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</si>
  <si>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</si>
  <si>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</si>
  <si>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</si>
  <si>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</si>
  <si>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</si>
  <si>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</si>
  <si>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</si>
  <si>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</si>
  <si>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</si>
  <si>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</si>
  <si>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</si>
  <si>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</si>
  <si>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</si>
  <si>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</si>
  <si>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</si>
  <si>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</si>
  <si>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</si>
  <si>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</si>
  <si>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</si>
  <si>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</si>
  <si>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</si>
  <si>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</si>
  <si>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</si>
  <si>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</si>
  <si>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</si>
  <si>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</si>
  <si>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</si>
  <si>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</si>
  <si>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</si>
  <si>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</si>
  <si>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</si>
  <si>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</si>
  <si>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</si>
  <si>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</si>
  <si>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</si>
  <si>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</si>
  <si>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</si>
  <si>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</si>
  <si>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</si>
  <si>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</si>
  <si>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</si>
  <si>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</si>
  <si>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</si>
  <si>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</si>
  <si>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</si>
  <si>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</si>
  <si>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</si>
  <si>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</si>
  <si>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</si>
  <si>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</si>
  <si>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</si>
  <si>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</si>
  <si>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</si>
  <si>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</si>
  <si>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</si>
  <si>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</si>
  <si>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</si>
  <si>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</si>
  <si>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</si>
  <si>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</si>
  <si>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</si>
  <si>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</si>
  <si>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</si>
  <si>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</si>
  <si>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</si>
  <si>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</si>
  <si>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</si>
  <si>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</si>
  <si>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</si>
  <si>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</si>
  <si>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</si>
  <si>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</si>
  <si>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</si>
  <si>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</si>
  <si>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</si>
  <si>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</si>
  <si>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</si>
  <si>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</si>
  <si>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</si>
  <si>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</si>
  <si>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</si>
  <si>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</si>
  <si>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</si>
  <si>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</si>
  <si>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</si>
  <si>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</si>
  <si>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</si>
  <si>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</si>
  <si>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</si>
  <si>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</si>
  <si>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</si>
  <si>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</si>
  <si>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</si>
  <si>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</si>
  <si>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</si>
  <si>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</si>
  <si>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</si>
  <si>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</si>
  <si>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</si>
  <si>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</si>
  <si>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</si>
  <si>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</si>
  <si>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</si>
  <si>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</si>
  <si>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</si>
  <si>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</si>
  <si>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</si>
  <si>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</si>
  <si>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</si>
  <si>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</si>
  <si>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</si>
  <si>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</si>
  <si>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</si>
  <si>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</si>
  <si>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</si>
  <si>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</si>
  <si>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</si>
  <si>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</si>
  <si>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</si>
  <si>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</si>
  <si>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</si>
  <si>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</si>
  <si>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</si>
  <si>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</si>
  <si>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</si>
  <si>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</si>
  <si>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</si>
  <si>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</si>
  <si>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</si>
  <si>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</si>
  <si>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</si>
  <si>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</si>
  <si>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</si>
  <si>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</si>
  <si>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</si>
  <si>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</si>
  <si>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</si>
  <si>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</si>
  <si>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</si>
  <si>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</si>
  <si>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</si>
  <si>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</si>
  <si>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</si>
  <si>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</si>
  <si>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</si>
  <si>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</si>
  <si>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</si>
  <si>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</si>
  <si>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</si>
  <si>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</si>
  <si>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</si>
  <si>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</si>
  <si>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</si>
  <si>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</si>
  <si>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</si>
  <si>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</si>
  <si>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</si>
  <si>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</si>
  <si>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</si>
  <si>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</si>
  <si>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</si>
  <si>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</si>
  <si>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</si>
  <si>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</si>
  <si>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</si>
  <si>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</si>
  <si>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</si>
  <si>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</si>
  <si>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</si>
  <si>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</si>
  <si>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</si>
  <si>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</si>
  <si>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</si>
  <si>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</si>
  <si>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</si>
  <si>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</si>
  <si>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</si>
  <si>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</si>
  <si>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</si>
  <si>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</si>
  <si>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</si>
  <si>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</si>
  <si>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</si>
  <si>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</si>
  <si>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</si>
  <si>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</si>
  <si>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</si>
  <si>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</si>
  <si>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</si>
  <si>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</si>
  <si>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</si>
  <si>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</si>
  <si>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</si>
  <si>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</si>
  <si>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</si>
  <si>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</si>
  <si>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</si>
  <si>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</si>
  <si>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</si>
  <si>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</si>
  <si>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</si>
  <si>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</si>
  <si>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</si>
  <si>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</si>
  <si>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</si>
  <si>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</si>
  <si>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</si>
  <si>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</si>
  <si>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</si>
  <si>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</si>
  <si>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</si>
  <si>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</si>
  <si>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</si>
  <si>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</si>
  <si>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</si>
  <si>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</si>
  <si>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</si>
  <si>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</si>
  <si>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</si>
  <si>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</si>
  <si>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</si>
  <si>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</si>
  <si>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</si>
  <si>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</si>
  <si>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</si>
  <si>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</si>
  <si>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</si>
  <si>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</si>
  <si>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</si>
  <si>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</si>
  <si>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</si>
  <si>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</si>
  <si>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</si>
  <si>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</si>
  <si>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</si>
  <si>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</si>
  <si>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</si>
  <si>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</si>
  <si>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</si>
  <si>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</si>
  <si>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</si>
  <si>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</si>
  <si>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</si>
  <si>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</si>
  <si>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</si>
  <si>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</si>
  <si>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</si>
  <si>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</si>
  <si>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</si>
  <si>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</si>
  <si>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</si>
  <si>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</si>
  <si>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</si>
  <si>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</si>
  <si>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</si>
  <si>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</si>
  <si>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</si>
  <si>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</si>
  <si>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</si>
  <si>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</si>
  <si>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</si>
  <si>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</si>
  <si>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</si>
  <si>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</si>
  <si>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</si>
  <si>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</si>
  <si>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</si>
  <si>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</si>
  <si>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</si>
  <si>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</si>
  <si>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</si>
  <si>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</si>
  <si>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</si>
  <si>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</si>
  <si>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</si>
  <si>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</si>
  <si>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</si>
  <si>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</si>
  <si>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</si>
  <si>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</si>
  <si>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</si>
  <si>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</si>
  <si>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</si>
  <si>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</si>
  <si>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</si>
  <si>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</si>
  <si>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</si>
  <si>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</si>
  <si>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</si>
  <si>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</si>
  <si>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</si>
  <si>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</si>
  <si>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</si>
  <si>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</si>
  <si>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</si>
  <si>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</si>
  <si>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</si>
  <si>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</si>
  <si>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</si>
  <si>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</si>
  <si>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</si>
  <si>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</si>
  <si>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</si>
  <si>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</si>
  <si>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</si>
  <si>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</si>
  <si>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</si>
  <si>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</si>
  <si>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</si>
  <si>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</si>
  <si>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</si>
  <si>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</si>
  <si>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</si>
  <si>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</si>
  <si>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</si>
  <si>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</si>
  <si>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</si>
  <si>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</si>
  <si>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</si>
  <si>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</si>
  <si>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</si>
  <si>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</si>
  <si>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</si>
  <si>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</si>
  <si>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</si>
  <si>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</si>
  <si>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</si>
  <si>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</si>
  <si>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</si>
  <si>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</si>
  <si>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</si>
  <si>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</si>
  <si>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</si>
  <si>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</si>
  <si>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</si>
  <si>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</si>
  <si>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</si>
  <si>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</si>
  <si>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</si>
  <si>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</si>
  <si>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</si>
  <si>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</si>
  <si>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</si>
  <si>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</si>
  <si>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</si>
  <si>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</si>
  <si>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</si>
  <si>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</si>
  <si>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</si>
  <si>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</si>
  <si>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</si>
  <si>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</si>
  <si>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</si>
  <si>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</si>
  <si>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</si>
  <si>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</si>
  <si>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</si>
  <si>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</si>
  <si>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</si>
  <si>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</si>
  <si>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</si>
  <si>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</si>
  <si>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</si>
  <si>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</si>
  <si>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</si>
  <si>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</si>
  <si>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</si>
  <si>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</si>
  <si>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</si>
  <si>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</si>
  <si>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</si>
  <si>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</si>
  <si>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</si>
  <si>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</si>
  <si>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</si>
  <si>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</si>
  <si>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</si>
  <si>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</si>
  <si>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</si>
  <si>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</si>
  <si>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</si>
  <si>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</si>
  <si>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</si>
  <si>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</si>
  <si>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</si>
  <si>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</si>
  <si>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</si>
  <si>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</si>
  <si>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</si>
  <si>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</si>
  <si>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</si>
  <si>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</si>
  <si>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</si>
  <si>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</si>
  <si>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</si>
  <si>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</si>
  <si>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</si>
  <si>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</si>
  <si>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</si>
  <si>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</si>
  <si>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</si>
  <si>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</si>
  <si>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</si>
  <si>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</si>
  <si>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</si>
  <si>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</si>
  <si>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</si>
  <si>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</si>
  <si>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</si>
  <si>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</si>
  <si>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</si>
  <si>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</si>
  <si>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</si>
  <si>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</si>
  <si>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</si>
  <si>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</si>
  <si>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</si>
  <si>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</si>
  <si>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</si>
  <si>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</si>
  <si>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</si>
  <si>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</si>
  <si>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</si>
  <si>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</si>
  <si>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</si>
  <si>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</si>
  <si>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</si>
  <si>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</si>
  <si>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</si>
  <si>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</si>
  <si>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</si>
  <si>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</si>
  <si>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</si>
  <si>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</si>
  <si>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</si>
  <si>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</si>
  <si>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</si>
  <si>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</si>
  <si>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</si>
  <si>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</si>
  <si>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</si>
  <si>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</si>
  <si>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</si>
  <si>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</si>
  <si>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</si>
  <si>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</si>
  <si>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</si>
  <si>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</si>
  <si>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</si>
  <si>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</si>
  <si>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</si>
  <si>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</si>
  <si>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</si>
  <si>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</si>
  <si>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</si>
  <si>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</si>
  <si>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</si>
  <si>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</si>
  <si>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</si>
  <si>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</si>
  <si>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</si>
  <si>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</si>
  <si>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</si>
  <si>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</si>
  <si>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</si>
  <si>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</si>
  <si>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</si>
  <si>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</si>
  <si>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</si>
  <si>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</si>
  <si>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</si>
  <si>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</si>
  <si>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</si>
  <si>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</si>
  <si>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</si>
  <si>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</si>
  <si>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</si>
  <si>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</si>
  <si>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</si>
  <si>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</si>
  <si>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</si>
  <si>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</si>
  <si>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</si>
  <si>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</si>
  <si>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</si>
  <si>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</si>
  <si>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</si>
  <si>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</si>
  <si>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</si>
  <si>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</si>
  <si>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</si>
  <si>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</si>
  <si>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</si>
  <si>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</si>
  <si>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</si>
  <si>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</si>
  <si>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</si>
  <si>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</si>
  <si>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</si>
  <si>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</si>
  <si>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</si>
  <si>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</si>
  <si>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</si>
  <si>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</si>
  <si>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</si>
  <si>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</si>
  <si>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</si>
  <si>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</si>
  <si>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</si>
  <si>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</si>
  <si>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</si>
  <si>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</si>
  <si>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</si>
  <si>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</si>
  <si>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</si>
  <si>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</si>
  <si>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</si>
  <si>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</si>
  <si>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</si>
  <si>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</si>
  <si>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</si>
  <si>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</si>
  <si>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</si>
  <si>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</si>
  <si>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</si>
  <si>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</si>
  <si>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</si>
  <si>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</si>
  <si>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</si>
  <si>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</si>
  <si>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</si>
  <si>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</si>
  <si>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</si>
  <si>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</si>
  <si>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</si>
  <si>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</si>
  <si>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</si>
  <si>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</si>
  <si>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</si>
  <si>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</si>
  <si>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</si>
  <si>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</si>
  <si>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</si>
  <si>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</si>
  <si>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</si>
  <si>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</si>
  <si>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</si>
  <si>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</si>
  <si>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</si>
  <si>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</si>
  <si>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</si>
  <si>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</si>
  <si>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</si>
  <si>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</si>
  <si>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</si>
  <si>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</si>
  <si>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</si>
  <si>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</si>
  <si>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</si>
  <si>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</si>
  <si>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</si>
  <si>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</si>
  <si>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</si>
  <si>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</si>
  <si>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</si>
  <si>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</si>
  <si>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</si>
  <si>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</si>
  <si>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</si>
  <si>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</si>
  <si>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</si>
  <si>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</si>
  <si>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</si>
  <si>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</si>
  <si>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</si>
  <si>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</si>
  <si>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</si>
  <si>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</si>
  <si>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</si>
  <si>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</si>
  <si>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</si>
  <si>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</si>
  <si>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</si>
  <si>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</si>
  <si>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</si>
  <si>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</si>
  <si>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</si>
  <si>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</si>
  <si>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</si>
  <si>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</si>
  <si>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</si>
  <si>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</si>
  <si>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</si>
  <si>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</si>
  <si>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</si>
  <si>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</si>
  <si>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</si>
  <si>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</si>
  <si>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</si>
  <si>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</si>
  <si>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</si>
  <si>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</si>
  <si>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</si>
  <si>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</si>
  <si>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</si>
  <si>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</si>
  <si>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</si>
  <si>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</si>
  <si>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</si>
  <si>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</si>
  <si>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</si>
  <si>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</si>
  <si>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</si>
  <si>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</si>
  <si>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</si>
  <si>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</si>
  <si>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</si>
  <si>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</si>
  <si>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</si>
  <si>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</si>
  <si>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</si>
  <si>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</si>
  <si>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</si>
  <si>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</si>
  <si>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</si>
  <si>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</si>
  <si>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</si>
  <si>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</si>
  <si>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</si>
  <si>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</si>
  <si>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</si>
  <si>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</si>
  <si>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</si>
  <si>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</si>
  <si>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</si>
  <si>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</si>
  <si>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</si>
  <si>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</si>
  <si>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</si>
  <si>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</si>
  <si>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</si>
  <si>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</si>
  <si>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</si>
  <si>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</si>
  <si>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</si>
  <si>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</si>
  <si>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</si>
  <si>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</si>
  <si>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</si>
  <si>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</si>
  <si>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</si>
  <si>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</si>
  <si>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</si>
  <si>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</si>
  <si>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</si>
  <si>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</si>
  <si>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</si>
  <si>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</si>
  <si>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</si>
  <si>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</si>
  <si>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</si>
  <si>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</si>
  <si>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</si>
  <si>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</si>
  <si>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</si>
  <si>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</si>
  <si>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</si>
  <si>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</si>
  <si>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</si>
  <si>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</si>
  <si>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</si>
  <si>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</si>
  <si>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</si>
  <si>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</si>
  <si>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</si>
  <si>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</si>
  <si>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</si>
  <si>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</si>
  <si>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</si>
  <si>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</si>
  <si>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</si>
  <si>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</si>
  <si>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</si>
  <si>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</si>
  <si>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</si>
  <si>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</si>
  <si>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</si>
  <si>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</si>
  <si>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</si>
  <si>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</si>
  <si>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</si>
  <si>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</si>
  <si>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</si>
  <si>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</si>
  <si>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</si>
  <si>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</si>
  <si>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</si>
  <si>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</si>
  <si>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</si>
  <si>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</si>
  <si>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</si>
  <si>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</si>
  <si>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</si>
  <si>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</si>
  <si>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</si>
  <si>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</si>
  <si>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</si>
  <si>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</si>
  <si>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</si>
  <si>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</si>
  <si>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</si>
  <si>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</si>
  <si>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</si>
  <si>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</si>
  <si>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</si>
  <si>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</si>
  <si>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</si>
  <si>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</si>
  <si>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</si>
  <si>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</si>
  <si>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</si>
  <si>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</si>
  <si>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</si>
  <si>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</si>
  <si>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</si>
  <si>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</si>
  <si>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</si>
  <si>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</si>
  <si>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</si>
  <si>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</si>
  <si>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</si>
  <si>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</si>
  <si>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</si>
  <si>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</si>
  <si>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</si>
  <si>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</si>
  <si>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</si>
  <si>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</si>
  <si>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</si>
  <si>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</si>
  <si>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</si>
  <si>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</si>
  <si>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</si>
  <si>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</si>
  <si>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</si>
  <si>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</si>
  <si>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</si>
  <si>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</si>
  <si>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</si>
  <si>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</si>
  <si>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</si>
  <si>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</si>
  <si>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</si>
  <si>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</si>
  <si>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</si>
  <si>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</si>
  <si>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</si>
  <si>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</si>
  <si>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</si>
  <si>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</si>
  <si>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</si>
  <si>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</si>
  <si>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</si>
  <si>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</si>
  <si>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</si>
  <si>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</si>
  <si>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</si>
  <si>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</si>
  <si>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</si>
  <si>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</si>
  <si>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</si>
  <si>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</si>
  <si>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</si>
  <si>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</si>
  <si>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</si>
  <si>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</si>
  <si>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</si>
  <si>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</si>
  <si>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</si>
  <si>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</si>
  <si>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</si>
  <si>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</si>
  <si>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</si>
  <si>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</si>
  <si>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</si>
  <si>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</si>
  <si>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</si>
  <si>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</si>
  <si>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</si>
  <si>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</si>
  <si>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</si>
  <si>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</si>
  <si>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</si>
  <si>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</si>
  <si>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</si>
  <si>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</si>
  <si>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</si>
  <si>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</si>
  <si>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</si>
  <si>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</si>
  <si>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</si>
  <si>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</si>
  <si>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</si>
  <si>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</si>
  <si>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</si>
  <si>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</si>
  <si>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</si>
  <si>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</si>
  <si>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</si>
  <si>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</si>
  <si>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</si>
  <si>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</si>
  <si>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</si>
  <si>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</si>
  <si>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</si>
  <si>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</si>
  <si>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</si>
  <si>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</si>
  <si>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</si>
  <si>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</si>
  <si>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</si>
  <si>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</si>
  <si>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</si>
  <si>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</si>
  <si>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</si>
  <si>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</si>
  <si>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</si>
  <si>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</si>
  <si>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</si>
  <si>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</si>
  <si>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</si>
  <si>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</si>
  <si>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</si>
  <si>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</si>
  <si>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</si>
  <si>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</si>
  <si>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</si>
  <si>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</si>
  <si>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</si>
  <si>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</si>
  <si>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</si>
  <si>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</si>
  <si>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</si>
  <si>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</si>
  <si>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</si>
  <si>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</si>
  <si>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</si>
  <si>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</si>
  <si>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</si>
  <si>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</si>
  <si>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</si>
  <si>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</si>
  <si>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</si>
  <si>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</si>
  <si>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</si>
  <si>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</si>
  <si>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</si>
  <si>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</si>
  <si>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</si>
  <si>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</si>
  <si>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</si>
  <si>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</si>
  <si>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</si>
  <si>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</si>
  <si>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</si>
  <si>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</si>
  <si>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</si>
  <si>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</si>
  <si>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</si>
  <si>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</si>
  <si>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</si>
  <si>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</si>
  <si>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</si>
  <si>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</si>
  <si>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</si>
  <si>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</si>
  <si>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</si>
  <si>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</si>
  <si>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</si>
  <si>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</si>
  <si>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</si>
  <si>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</si>
  <si>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</si>
  <si>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</si>
  <si>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</si>
  <si>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</si>
  <si>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</si>
  <si>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</si>
  <si>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</si>
  <si>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</si>
  <si>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</si>
  <si>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</si>
  <si>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</si>
  <si>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</si>
  <si>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</si>
  <si>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</si>
  <si>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</si>
  <si>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</si>
  <si>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</si>
  <si>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</si>
  <si>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</si>
  <si>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</si>
  <si>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</si>
  <si>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</si>
  <si>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</si>
  <si>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</si>
  <si>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</si>
  <si>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</si>
  <si>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</si>
  <si>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</si>
  <si>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</si>
  <si>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</si>
  <si>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</si>
  <si>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</si>
  <si>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</si>
  <si>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</si>
  <si>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</si>
  <si>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</si>
  <si>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</si>
  <si>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</si>
  <si>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</si>
  <si>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</si>
  <si>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</si>
  <si>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</si>
  <si>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</si>
  <si>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</si>
  <si>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</si>
  <si>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</si>
  <si>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</si>
  <si>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</si>
  <si>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</si>
  <si>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</si>
  <si>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</si>
  <si>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</si>
  <si>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</si>
  <si>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</si>
  <si>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</si>
  <si>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</si>
  <si>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</si>
  <si>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</si>
  <si>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</si>
  <si>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</si>
  <si>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</si>
  <si>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</si>
  <si>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</si>
  <si>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</si>
  <si>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</si>
  <si>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</si>
  <si>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</si>
  <si>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</si>
  <si>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</si>
  <si>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</si>
  <si>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</si>
  <si>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</si>
  <si>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</si>
  <si>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</si>
  <si>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</si>
  <si>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</si>
  <si>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</si>
  <si>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</si>
  <si>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</si>
  <si>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</si>
  <si>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</si>
  <si>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</si>
  <si>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</si>
  <si>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</si>
  <si>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</si>
  <si>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</si>
  <si>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</si>
  <si>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</si>
  <si>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</si>
  <si>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</si>
  <si>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</si>
  <si>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</si>
  <si>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</si>
  <si>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</si>
  <si>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</si>
  <si>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</si>
  <si>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</si>
  <si>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</si>
  <si>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</si>
  <si>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</si>
  <si>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</si>
  <si>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</si>
  <si>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</si>
  <si>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</si>
  <si>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</si>
  <si>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</si>
  <si>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</si>
  <si>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</si>
  <si>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</si>
  <si>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</si>
  <si>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</si>
  <si>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</si>
  <si>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</si>
  <si>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</si>
  <si>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</si>
  <si>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</si>
  <si>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</si>
  <si>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</si>
  <si>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</si>
  <si>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</si>
  <si>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</si>
  <si>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</si>
  <si>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</si>
  <si>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</si>
  <si>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</si>
  <si>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</si>
  <si>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</si>
  <si>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</si>
  <si>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</si>
  <si>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</si>
  <si>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</si>
  <si>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</si>
  <si>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</si>
  <si>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</si>
  <si>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</si>
  <si>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</si>
  <si>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</si>
  <si>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</si>
  <si>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</si>
  <si>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</si>
  <si>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</si>
  <si>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</si>
  <si>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</si>
  <si>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</si>
  <si>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</si>
  <si>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</si>
  <si>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</si>
  <si>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</si>
  <si>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</si>
  <si>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</si>
  <si>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</si>
  <si>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</si>
  <si>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</si>
  <si>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</si>
  <si>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</si>
  <si>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</si>
  <si>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</si>
  <si>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</si>
  <si>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</si>
  <si>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</si>
  <si>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</si>
  <si>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</si>
  <si>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</si>
  <si>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</si>
  <si>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</si>
  <si>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</si>
  <si>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</si>
  <si>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</si>
  <si>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</si>
  <si>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</si>
  <si>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</si>
  <si>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</si>
  <si>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</si>
  <si>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</si>
  <si>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</si>
  <si>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</si>
  <si>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</si>
  <si>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</si>
  <si>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</si>
  <si>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</si>
  <si>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</si>
  <si>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</si>
  <si>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</si>
  <si>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</si>
  <si>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</si>
  <si>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</si>
  <si>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</si>
  <si>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</si>
  <si>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</si>
  <si>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</si>
  <si>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</si>
  <si>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</si>
  <si>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</si>
  <si>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</si>
  <si>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</si>
  <si>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</si>
  <si>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</si>
  <si>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</si>
  <si>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</si>
  <si>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</si>
  <si>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</si>
  <si>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</si>
  <si>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</si>
  <si>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</si>
  <si>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</si>
  <si>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</si>
  <si>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</si>
  <si>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</si>
  <si>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</si>
  <si>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</si>
  <si>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</si>
  <si>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</si>
  <si>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</si>
  <si>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</si>
  <si>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</si>
  <si>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</si>
  <si>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</si>
  <si>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</si>
  <si>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</si>
  <si>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</si>
  <si>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</si>
  <si>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</si>
  <si>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</si>
  <si>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</si>
  <si>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</si>
  <si>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</si>
  <si>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</si>
  <si>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</si>
  <si>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</si>
  <si>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</si>
  <si>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</si>
  <si>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</si>
  <si>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</si>
  <si>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</si>
  <si>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</si>
  <si>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</si>
  <si>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</si>
  <si>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</si>
  <si>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</si>
  <si>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</si>
  <si>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</si>
  <si>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</si>
  <si>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</si>
  <si>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</si>
  <si>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</si>
  <si>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</si>
  <si>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</si>
  <si>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</si>
  <si>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</si>
  <si>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</si>
  <si>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</si>
  <si>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</si>
  <si>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</si>
  <si>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</si>
  <si>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</si>
  <si>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</si>
  <si>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</si>
  <si>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</si>
  <si>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</si>
  <si>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</si>
  <si>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</si>
  <si>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</si>
  <si>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</si>
  <si>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</si>
  <si>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</si>
  <si>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</si>
  <si>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</si>
  <si>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</si>
  <si>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</si>
  <si>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</si>
  <si>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</si>
  <si>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</si>
  <si>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</si>
  <si>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</si>
  <si>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</si>
  <si>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</si>
  <si>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</si>
  <si>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</si>
  <si>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</si>
  <si>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</si>
  <si>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</si>
  <si>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</si>
  <si>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</si>
  <si>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</si>
  <si>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</si>
  <si>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</si>
  <si>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</si>
  <si>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</si>
  <si>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</si>
  <si>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</si>
  <si>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</si>
  <si>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</si>
  <si>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</si>
  <si>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</si>
  <si>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</si>
  <si>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</si>
  <si>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</si>
  <si>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</si>
  <si>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</si>
  <si>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</si>
  <si>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</si>
  <si>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</si>
  <si>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</si>
  <si>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</si>
  <si>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</si>
  <si>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</si>
  <si>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</si>
  <si>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</si>
  <si>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</si>
  <si>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</si>
  <si>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</si>
  <si>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</si>
  <si>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</si>
  <si>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</si>
  <si>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</si>
  <si>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</si>
  <si>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</si>
  <si>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</si>
  <si>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</si>
  <si>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</si>
  <si>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</si>
  <si>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</si>
  <si>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</si>
  <si>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</si>
  <si>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</si>
  <si>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</si>
  <si>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</si>
  <si>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</si>
  <si>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</si>
  <si>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</si>
  <si>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</si>
  <si>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</si>
  <si>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</si>
  <si>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</si>
  <si>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</si>
  <si>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</si>
  <si>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</si>
  <si>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</si>
  <si>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</si>
  <si>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</si>
  <si>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</si>
  <si>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</si>
  <si>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</si>
  <si>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</si>
  <si>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</si>
  <si>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</si>
  <si>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</si>
  <si>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</si>
  <si>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</si>
  <si>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</si>
  <si>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</si>
  <si>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</si>
  <si>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</si>
  <si>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</si>
  <si>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</si>
  <si>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</si>
  <si>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</si>
  <si>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</si>
  <si>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</si>
  <si>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</si>
  <si>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</si>
  <si>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</si>
  <si>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</si>
  <si>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</si>
  <si>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</si>
  <si>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</si>
  <si>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</si>
  <si>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</si>
  <si>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</si>
  <si>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</si>
  <si>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</si>
  <si>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</si>
  <si>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</si>
  <si>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</si>
  <si>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</si>
  <si>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</si>
  <si>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</si>
  <si>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</si>
  <si>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</si>
  <si>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</si>
  <si>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</si>
  <si>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</si>
  <si>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</si>
  <si>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</si>
  <si>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</si>
  <si>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</si>
  <si>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</si>
  <si>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</si>
  <si>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</si>
  <si>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</si>
  <si>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</si>
  <si>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</si>
  <si>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</si>
  <si>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</si>
  <si>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</si>
  <si>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</si>
  <si>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</si>
  <si>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</si>
  <si>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</si>
  <si>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</si>
  <si>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</si>
  <si>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</si>
  <si>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</si>
  <si>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</si>
  <si>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</si>
  <si>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</si>
  <si>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</si>
  <si>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</si>
  <si>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</si>
  <si>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</si>
  <si>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</si>
  <si>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</si>
  <si>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</si>
  <si>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</si>
  <si>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</si>
  <si>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</si>
  <si>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</si>
  <si>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</si>
  <si>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</si>
  <si>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</si>
  <si>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</si>
  <si>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</si>
  <si>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</si>
  <si>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</si>
  <si>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</si>
  <si>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</si>
  <si>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</si>
  <si>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</si>
  <si>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</si>
  <si>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</si>
  <si>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</si>
  <si>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</si>
  <si>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</si>
  <si>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</si>
  <si>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</si>
  <si>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</si>
  <si>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</si>
  <si>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</si>
  <si>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</si>
  <si>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</si>
  <si>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</si>
  <si>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</si>
  <si>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</si>
  <si>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</si>
  <si>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</si>
  <si>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</si>
  <si>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</si>
  <si>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</si>
  <si>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</si>
  <si>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</si>
  <si>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</si>
  <si>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</si>
  <si>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</si>
  <si>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</si>
  <si>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</si>
  <si>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</si>
  <si>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</si>
  <si>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</si>
  <si>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</si>
  <si>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</si>
  <si>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</si>
  <si>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</si>
  <si>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</si>
  <si>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</si>
  <si>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</si>
  <si>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</si>
  <si>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</si>
  <si>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</si>
  <si>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</si>
  <si>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</si>
  <si>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</si>
  <si>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</si>
  <si>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</si>
  <si>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</si>
  <si>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</si>
  <si>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</si>
  <si>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</si>
  <si>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</si>
  <si>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</si>
  <si>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</si>
  <si>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</si>
  <si>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</si>
  <si>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</si>
  <si>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</si>
  <si>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</si>
  <si>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</si>
  <si>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</si>
  <si>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</si>
  <si>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</si>
  <si>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</si>
  <si>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</si>
  <si>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</si>
  <si>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</si>
  <si>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</si>
  <si>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</si>
  <si>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</si>
  <si>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</si>
  <si>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</si>
  <si>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</si>
  <si>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</si>
  <si>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</si>
  <si>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</si>
  <si>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</si>
  <si>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</si>
  <si>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</si>
  <si>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</si>
  <si>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</si>
  <si>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</si>
  <si>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</si>
  <si>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</si>
  <si>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</si>
  <si>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</si>
  <si>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</si>
  <si>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</si>
  <si>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</si>
  <si>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</si>
  <si>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</si>
  <si>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</si>
  <si>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</si>
  <si>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</si>
  <si>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</si>
  <si>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</si>
  <si>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</si>
  <si>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</si>
  <si>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</si>
  <si>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</si>
  <si>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</si>
  <si>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</si>
  <si>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</si>
  <si>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</si>
  <si>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</si>
  <si>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</si>
  <si>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</si>
  <si>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</si>
  <si>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</si>
  <si>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</si>
  <si>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</si>
  <si>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</si>
  <si>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</si>
  <si>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</si>
  <si>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</si>
  <si>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</si>
  <si>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</si>
  <si>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</si>
  <si>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</si>
  <si>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</si>
  <si>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</si>
  <si>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</si>
  <si>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</si>
  <si>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</si>
  <si>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</si>
  <si>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</si>
  <si>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</si>
  <si>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</si>
  <si>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</si>
  <si>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</si>
  <si>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</si>
  <si>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</si>
  <si>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</si>
  <si>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</si>
  <si>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</si>
  <si>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</si>
  <si>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</si>
  <si>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</si>
  <si>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</si>
  <si>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</si>
  <si>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</si>
  <si>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</si>
  <si>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</si>
  <si>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</si>
  <si>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</si>
  <si>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</si>
  <si>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</si>
  <si>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</si>
  <si>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</si>
  <si>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</si>
  <si>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</si>
  <si>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</si>
  <si>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</si>
  <si>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</si>
  <si>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</si>
  <si>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</si>
  <si>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</si>
  <si>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</si>
  <si>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</si>
  <si>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</si>
  <si>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</si>
  <si>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</si>
  <si>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</si>
  <si>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</si>
  <si>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</si>
  <si>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</si>
  <si>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</si>
  <si>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</si>
  <si>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</si>
  <si>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</si>
  <si>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</si>
  <si>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</si>
  <si>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</si>
  <si>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</si>
  <si>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</si>
  <si>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</si>
  <si>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</si>
  <si>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</si>
  <si>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</si>
  <si>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</si>
  <si>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</si>
  <si>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</si>
  <si>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</si>
  <si>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</si>
  <si>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</si>
  <si>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</si>
  <si>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</si>
  <si>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</si>
  <si>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</si>
  <si>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</si>
  <si>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</si>
  <si>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</si>
  <si>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</si>
  <si>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</si>
  <si>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</si>
  <si>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</si>
  <si>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</si>
  <si>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</si>
  <si>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</si>
  <si>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</si>
  <si>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</si>
  <si>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</si>
  <si>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</si>
  <si>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</si>
  <si>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</si>
  <si>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</si>
  <si>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</si>
  <si>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</si>
  <si>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</si>
  <si>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</si>
  <si>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</si>
  <si>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</si>
  <si>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</si>
  <si>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</si>
  <si>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</si>
  <si>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</si>
  <si>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</si>
  <si>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</si>
  <si>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</si>
  <si>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</si>
  <si>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</si>
  <si>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</si>
  <si>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</si>
  <si>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</si>
  <si>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</si>
  <si>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</si>
  <si>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</si>
  <si>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</si>
  <si>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</si>
  <si>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</si>
  <si>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</si>
  <si>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</si>
  <si>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</si>
  <si>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</si>
  <si>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</si>
  <si>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</si>
  <si>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</si>
  <si>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</si>
  <si>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</si>
  <si>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</si>
  <si>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</si>
  <si>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</si>
  <si>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</si>
  <si>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</si>
  <si>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</si>
  <si>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</si>
  <si>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</si>
  <si>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</si>
  <si>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</si>
  <si>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</si>
  <si>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</si>
  <si>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</si>
  <si>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</si>
  <si>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</si>
  <si>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</si>
  <si>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</si>
  <si>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</si>
  <si>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</si>
  <si>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</si>
  <si>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</si>
  <si>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</si>
  <si>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</si>
  <si>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</si>
  <si>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</si>
  <si>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</si>
  <si>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</si>
  <si>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</si>
  <si>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</si>
  <si>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</si>
  <si>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</si>
  <si>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</si>
  <si>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</si>
  <si>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</si>
  <si>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</si>
  <si>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</si>
  <si>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</si>
  <si>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</si>
  <si>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</si>
  <si>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</si>
  <si>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</si>
  <si>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</si>
  <si>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</si>
  <si>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</si>
  <si>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</si>
  <si>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</si>
  <si>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</si>
  <si>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</si>
  <si>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</si>
  <si>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</si>
  <si>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</si>
  <si>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</si>
  <si>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</si>
  <si>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</si>
  <si>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</si>
  <si>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</si>
  <si>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</si>
  <si>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</si>
  <si>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</si>
  <si>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</si>
  <si>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</si>
  <si>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</si>
  <si>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</si>
  <si>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</si>
  <si>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</si>
  <si>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</si>
  <si>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</si>
  <si>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</si>
  <si>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</si>
  <si>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</si>
  <si>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</si>
  <si>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</si>
  <si>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</si>
  <si>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</si>
  <si>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</si>
  <si>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</si>
  <si>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</si>
  <si>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</si>
  <si>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</si>
  <si>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</si>
  <si>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</si>
  <si>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</si>
  <si>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</si>
  <si>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</si>
  <si>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</si>
  <si>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</si>
  <si>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</si>
  <si>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</si>
  <si>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</si>
  <si>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</si>
  <si>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</si>
  <si>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</si>
  <si>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</si>
  <si>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</si>
  <si>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</si>
  <si>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</si>
  <si>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</si>
  <si>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</si>
  <si>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</si>
  <si>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</si>
  <si>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</si>
  <si>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</si>
  <si>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</si>
  <si>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</si>
  <si>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</si>
  <si>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</si>
  <si>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</si>
  <si>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</si>
  <si>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</si>
  <si>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</si>
  <si>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</si>
  <si>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</si>
  <si>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</si>
  <si>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</si>
  <si>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</si>
  <si>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</si>
  <si>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</si>
  <si>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</si>
  <si>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</si>
  <si>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</si>
  <si>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</si>
  <si>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</si>
  <si>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</si>
  <si>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</si>
  <si>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</si>
  <si>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</si>
  <si>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</si>
  <si>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</si>
  <si>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</si>
  <si>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</si>
  <si>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</si>
  <si>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</si>
  <si>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</si>
  <si>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</si>
  <si>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</si>
  <si>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</si>
  <si>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</si>
  <si>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</si>
  <si>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</si>
  <si>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</si>
  <si>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</si>
  <si>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</si>
  <si>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</si>
  <si>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</si>
  <si>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</si>
  <si>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</si>
  <si>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</si>
  <si>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</si>
  <si>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</si>
  <si>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</si>
  <si>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</si>
  <si>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</si>
  <si>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</si>
  <si>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</si>
  <si>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</si>
  <si>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</si>
  <si>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</si>
  <si>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</si>
  <si>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</si>
  <si>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</si>
  <si>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</si>
  <si>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</si>
  <si>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</si>
  <si>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</si>
  <si>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</si>
  <si>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</si>
  <si>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</si>
  <si>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</si>
  <si>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</si>
  <si>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</si>
  <si>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</si>
  <si>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</si>
  <si>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</si>
  <si>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</si>
  <si>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</si>
  <si>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</si>
  <si>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</si>
  <si>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</si>
  <si>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</si>
  <si>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</si>
  <si>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</si>
  <si>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</si>
  <si>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</si>
  <si>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</si>
  <si>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</si>
  <si>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</si>
  <si>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</si>
  <si>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</si>
  <si>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</si>
  <si>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</si>
  <si>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</si>
  <si>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</si>
  <si>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</si>
  <si>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</si>
  <si>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</si>
  <si>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</si>
  <si>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</si>
  <si>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</si>
  <si>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</si>
  <si>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</si>
  <si>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</si>
  <si>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</si>
  <si>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</si>
  <si>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</si>
  <si>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</si>
  <si>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</si>
  <si>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</si>
  <si>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</si>
  <si>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</si>
  <si>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</si>
  <si>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</si>
  <si>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</si>
  <si>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</si>
  <si>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</si>
  <si>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</si>
  <si>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</si>
  <si>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</si>
  <si>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</si>
  <si>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</si>
  <si>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</si>
  <si>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</si>
  <si>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</si>
  <si>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</si>
  <si>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</si>
  <si>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</si>
  <si>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</si>
  <si>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</si>
  <si>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</si>
  <si>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</si>
  <si>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</si>
  <si>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</si>
  <si>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</si>
  <si>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</si>
  <si>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</si>
  <si>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</si>
  <si>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</si>
  <si>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</si>
  <si>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</si>
  <si>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</si>
  <si>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</si>
  <si>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</si>
  <si>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</si>
  <si>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</si>
  <si>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</si>
  <si>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</si>
  <si>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</si>
  <si>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</si>
  <si>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</si>
  <si>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</si>
  <si>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</si>
  <si>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</si>
  <si>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</si>
  <si>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</si>
  <si>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</si>
  <si>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</si>
  <si>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</si>
  <si>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</si>
  <si>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</si>
  <si>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</si>
  <si>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</si>
  <si>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</si>
  <si>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</si>
  <si>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</si>
  <si>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</si>
  <si>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</si>
  <si>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</si>
  <si>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</si>
  <si>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</si>
  <si>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</si>
  <si>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</si>
  <si>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</si>
  <si>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</si>
  <si>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</si>
  <si>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</si>
  <si>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</si>
  <si>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</si>
  <si>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</si>
  <si>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</si>
  <si>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</si>
  <si>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</si>
  <si>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</si>
  <si>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</si>
  <si>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</si>
  <si>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</si>
  <si>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</si>
  <si>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</si>
  <si>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</si>
  <si>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</si>
  <si>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</si>
  <si>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</si>
  <si>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</si>
  <si>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</si>
  <si>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</si>
  <si>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</si>
  <si>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</si>
  <si>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</si>
  <si>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</si>
  <si>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</si>
  <si>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</si>
  <si>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</si>
  <si>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</si>
  <si>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</si>
  <si>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</si>
  <si>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</si>
  <si>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</si>
  <si>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</si>
  <si>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</si>
  <si>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</si>
  <si>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</si>
  <si>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</si>
  <si>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</si>
  <si>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</si>
  <si>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</si>
  <si>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</si>
  <si>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</si>
  <si>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</si>
  <si>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</si>
  <si>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</si>
  <si>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</si>
  <si>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</si>
  <si>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</si>
  <si>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</si>
  <si>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</si>
  <si>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</si>
  <si>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</si>
  <si>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</si>
  <si>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</si>
  <si>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</si>
  <si>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</si>
  <si>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</si>
  <si>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</si>
  <si>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</si>
  <si>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</si>
  <si>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</si>
  <si>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</si>
  <si>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</si>
  <si>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</si>
  <si>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</si>
  <si>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</si>
  <si>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</si>
  <si>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</si>
  <si>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</si>
  <si>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</si>
  <si>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</si>
  <si>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</si>
  <si>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</si>
  <si>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</si>
  <si>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</si>
  <si>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</si>
  <si>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</si>
  <si>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</si>
  <si>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</si>
  <si>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</si>
  <si>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</si>
  <si>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</si>
  <si>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</si>
  <si>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</si>
  <si>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</si>
  <si>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</si>
  <si>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</si>
  <si>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</si>
  <si>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</si>
  <si>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</si>
  <si>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</si>
  <si>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</si>
  <si>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</si>
  <si>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</si>
  <si>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</si>
  <si>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</si>
  <si>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</si>
  <si>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</si>
  <si>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</si>
  <si>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</si>
  <si>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</si>
  <si>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</si>
  <si>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</si>
  <si>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</si>
  <si>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</si>
  <si>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</si>
  <si>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</si>
  <si>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</si>
  <si>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</si>
  <si>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</si>
  <si>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</si>
  <si>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</si>
  <si>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</si>
  <si>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</si>
  <si>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</si>
  <si>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</si>
  <si>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</si>
  <si>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</si>
  <si>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</si>
  <si>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</si>
  <si>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</si>
  <si>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</si>
  <si>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</si>
  <si>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</si>
  <si>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</si>
  <si>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</si>
  <si>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</si>
  <si>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</si>
  <si>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</si>
  <si>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</si>
  <si>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</si>
  <si>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</si>
  <si>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</si>
  <si>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</si>
  <si>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</si>
  <si>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</si>
  <si>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</si>
  <si>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</si>
  <si>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</si>
  <si>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</si>
  <si>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</si>
  <si>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</si>
  <si>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</si>
  <si>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</si>
  <si>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</si>
  <si>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</si>
  <si>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</si>
  <si>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</si>
  <si>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</si>
  <si>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</si>
  <si>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</si>
  <si>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</si>
  <si>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</si>
  <si>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</si>
  <si>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</si>
  <si>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</si>
  <si>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</si>
  <si>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</si>
  <si>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</si>
  <si>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</si>
  <si>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</si>
  <si>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</si>
  <si>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</si>
  <si>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</si>
  <si>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</si>
  <si>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</si>
  <si>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</si>
  <si>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</si>
  <si>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</si>
  <si>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</si>
  <si>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</si>
  <si>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</si>
  <si>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</si>
  <si>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</si>
  <si>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</si>
  <si>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</si>
  <si>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</si>
  <si>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</si>
  <si>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</si>
  <si>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</si>
  <si>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</si>
  <si>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</si>
  <si>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</si>
  <si>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</si>
  <si>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</si>
  <si>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</si>
  <si>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</si>
  <si>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</si>
  <si>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</si>
  <si>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</si>
  <si>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</si>
  <si>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</si>
  <si>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</si>
  <si>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</si>
  <si>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</si>
  <si>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</si>
  <si>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</si>
  <si>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</si>
  <si>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</si>
  <si>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</si>
  <si>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</si>
  <si>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</si>
  <si>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</si>
  <si>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</si>
  <si>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</si>
  <si>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</si>
  <si>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</si>
  <si>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</si>
  <si>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</si>
  <si>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</si>
  <si>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</si>
  <si>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</si>
  <si>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</si>
  <si>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</si>
  <si>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</si>
  <si>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</si>
  <si>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</si>
  <si>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</si>
  <si>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</si>
  <si>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</si>
  <si>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</si>
  <si>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</si>
  <si>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</si>
  <si>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</si>
  <si>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</si>
  <si>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</si>
  <si>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</si>
  <si>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</si>
  <si>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</si>
  <si>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</si>
  <si>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</si>
  <si>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</si>
  <si>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</si>
  <si>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</si>
  <si>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</si>
  <si>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</si>
  <si>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</si>
  <si>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</si>
  <si>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</si>
  <si>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</si>
  <si>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</si>
  <si>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</si>
  <si>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</si>
  <si>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</si>
  <si>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</si>
  <si>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</si>
  <si>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</si>
  <si>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</si>
  <si>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</si>
  <si>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</si>
  <si>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</si>
  <si>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</si>
  <si>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</si>
  <si>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</si>
  <si>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</si>
  <si>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</si>
  <si>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</si>
  <si>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</si>
  <si>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</si>
  <si>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</si>
  <si>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</si>
  <si>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</si>
  <si>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</si>
  <si>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</si>
  <si>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</si>
  <si>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</si>
  <si>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</si>
  <si>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</si>
  <si>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</si>
  <si>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</si>
  <si>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</si>
  <si>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</si>
  <si>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</si>
  <si>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</si>
  <si>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</si>
  <si>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</si>
  <si>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</si>
  <si>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</si>
  <si>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</si>
  <si>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</si>
  <si>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</si>
  <si>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</si>
  <si>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</si>
  <si>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</si>
  <si>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</si>
  <si>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</si>
  <si>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</si>
  <si>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</si>
  <si>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</si>
  <si>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</si>
  <si>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</si>
  <si>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</si>
  <si>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</si>
  <si>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</si>
  <si>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</si>
  <si>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</si>
  <si>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</si>
  <si>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</si>
  <si>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</si>
  <si>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</si>
  <si>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</si>
  <si>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</si>
  <si>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</si>
  <si>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</si>
  <si>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</si>
  <si>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</si>
  <si>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</si>
  <si>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</si>
  <si>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</si>
  <si>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</si>
  <si>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</si>
  <si>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</si>
  <si>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</si>
  <si>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</si>
  <si>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</si>
  <si>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</si>
  <si>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</si>
  <si>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</si>
  <si>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</si>
  <si>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</si>
  <si>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</si>
  <si>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</si>
  <si>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</si>
  <si>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</si>
  <si>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</si>
  <si>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</si>
  <si>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</si>
  <si>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</si>
  <si>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</si>
  <si>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</si>
  <si>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</si>
  <si>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</si>
  <si>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</si>
  <si>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</si>
  <si>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</si>
  <si>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</si>
  <si>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</si>
  <si>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</si>
  <si>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</si>
  <si>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</si>
  <si>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</si>
  <si>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</si>
  <si>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</si>
  <si>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</si>
  <si>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</si>
  <si>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</si>
  <si>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</si>
  <si>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</si>
  <si>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</si>
  <si>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</si>
  <si>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</si>
  <si>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</si>
  <si>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</si>
  <si>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</si>
  <si>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</si>
  <si>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</si>
  <si>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</si>
  <si>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</si>
  <si>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</si>
  <si>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</si>
  <si>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</si>
  <si>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</si>
  <si>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</si>
  <si>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</si>
  <si>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</si>
  <si>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</si>
  <si>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</si>
  <si>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</si>
  <si>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</si>
  <si>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</si>
  <si>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</si>
  <si>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</si>
  <si>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</si>
  <si>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</si>
  <si>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</si>
  <si>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</si>
  <si>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</si>
  <si>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</si>
  <si>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</si>
  <si>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</si>
  <si>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</si>
  <si>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</si>
  <si>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</si>
  <si>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</si>
  <si>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</si>
  <si>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</si>
  <si>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</si>
  <si>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</si>
  <si>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</si>
  <si>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</si>
  <si>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</si>
  <si>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</si>
  <si>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</si>
  <si>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</si>
  <si>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</si>
  <si>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</si>
  <si>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</si>
  <si>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</si>
  <si>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</si>
  <si>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</si>
  <si>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</si>
  <si>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</si>
  <si>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</si>
  <si>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</si>
  <si>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</si>
  <si>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</si>
  <si>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</si>
  <si>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</si>
  <si>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</si>
  <si>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</si>
  <si>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</si>
  <si>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</si>
  <si>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</si>
  <si>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</si>
  <si>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</si>
  <si>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</si>
  <si>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</si>
  <si>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</si>
  <si>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</si>
  <si>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</si>
  <si>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</si>
  <si>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</si>
  <si>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</si>
  <si>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</si>
  <si>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</si>
  <si>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</si>
  <si>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</si>
  <si>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</si>
  <si>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</si>
  <si>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</si>
  <si>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</si>
  <si>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</si>
  <si>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</si>
  <si>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</si>
  <si>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</si>
  <si>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</si>
  <si>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</si>
  <si>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</si>
  <si>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</si>
  <si>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</si>
  <si>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</si>
  <si>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</si>
  <si>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</si>
  <si>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</si>
  <si>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</si>
  <si>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</si>
  <si>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</si>
  <si>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</si>
  <si>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</si>
  <si>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</si>
  <si>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</si>
  <si>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</si>
  <si>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</si>
  <si>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</si>
  <si>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</si>
  <si>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</si>
  <si>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</si>
  <si>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</si>
  <si>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</si>
  <si>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</si>
  <si>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</si>
  <si>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</si>
  <si>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</si>
  <si>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</si>
  <si>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</si>
  <si>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</si>
  <si>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</si>
  <si>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</si>
  <si>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</si>
  <si>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</si>
  <si>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</si>
  <si>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</si>
  <si>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</si>
  <si>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</si>
  <si>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</si>
  <si>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</si>
  <si>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</si>
  <si>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</si>
  <si>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</si>
  <si>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</si>
  <si>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</si>
  <si>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</si>
  <si>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</si>
  <si>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</si>
  <si>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</si>
  <si>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</si>
  <si>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</si>
  <si>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</si>
  <si>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</si>
  <si>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</si>
  <si>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</si>
  <si>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</si>
  <si>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</si>
  <si>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</si>
  <si>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</si>
  <si>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</si>
  <si>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</si>
  <si>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</si>
  <si>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</si>
  <si>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</si>
  <si>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</si>
  <si>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</si>
  <si>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</si>
  <si>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</si>
  <si>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</si>
  <si>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</si>
  <si>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</si>
  <si>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</si>
  <si>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</si>
  <si>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</si>
  <si>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</si>
  <si>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</si>
  <si>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</si>
  <si>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</si>
  <si>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</si>
  <si>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</si>
  <si>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</si>
  <si>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</si>
  <si>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</si>
  <si>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</si>
  <si>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</si>
  <si>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</si>
  <si>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</si>
  <si>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</si>
  <si>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</si>
  <si>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</si>
  <si>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</si>
  <si>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</si>
  <si>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</si>
  <si>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</si>
  <si>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</si>
  <si>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</si>
  <si>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</si>
  <si>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</si>
  <si>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</si>
  <si>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</si>
  <si>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</si>
  <si>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</si>
  <si>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</si>
  <si>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</si>
  <si>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</si>
  <si>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</si>
  <si>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</si>
  <si>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</si>
  <si>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</si>
  <si>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</si>
  <si>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</si>
  <si>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</si>
  <si>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</si>
  <si>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</si>
  <si>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</si>
  <si>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</si>
  <si>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</si>
  <si>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</si>
  <si>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</si>
  <si>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</si>
  <si>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</si>
  <si>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</si>
  <si>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</si>
  <si>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</si>
  <si>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</si>
  <si>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</si>
  <si>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</si>
  <si>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</si>
  <si>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</si>
  <si>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</si>
  <si>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</si>
  <si>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</si>
  <si>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</si>
  <si>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</si>
  <si>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</si>
  <si>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</si>
  <si>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</si>
  <si>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</si>
  <si>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</si>
  <si>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</si>
  <si>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</si>
  <si>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</si>
  <si>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</si>
  <si>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</si>
  <si>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</si>
  <si>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</si>
  <si>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</si>
  <si>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</si>
  <si>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</si>
  <si>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</si>
  <si>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</si>
  <si>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</si>
  <si>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</si>
  <si>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</si>
  <si>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</si>
  <si>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</si>
  <si>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</si>
  <si>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</si>
  <si>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</si>
  <si>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</si>
  <si>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</si>
  <si>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</si>
  <si>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</si>
  <si>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</si>
  <si>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</si>
  <si>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</si>
  <si>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</si>
  <si>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</si>
  <si>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</si>
  <si>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</si>
  <si>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</si>
  <si>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</si>
  <si>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</si>
  <si>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</si>
  <si>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</si>
  <si>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</si>
  <si>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</si>
  <si>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</si>
  <si>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</si>
  <si>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</si>
  <si>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</si>
  <si>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</si>
  <si>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</si>
  <si>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</si>
  <si>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</si>
  <si>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</si>
  <si>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</si>
  <si>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</si>
  <si>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</si>
  <si>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</si>
  <si>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</si>
  <si>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</si>
  <si>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</si>
  <si>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</si>
  <si>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</si>
  <si>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</si>
  <si>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</si>
  <si>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</si>
  <si>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</si>
  <si>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</si>
  <si>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</si>
  <si>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</si>
  <si>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</si>
  <si>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</si>
  <si>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</si>
  <si>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</si>
  <si>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</si>
  <si>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</si>
  <si>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</si>
  <si>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</si>
  <si>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</si>
  <si>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</si>
  <si>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</si>
  <si>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</si>
  <si>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</si>
  <si>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</si>
  <si>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</si>
  <si>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</si>
  <si>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</si>
  <si>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</si>
  <si>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</si>
  <si>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</si>
  <si>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</si>
  <si>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</si>
  <si>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</si>
  <si>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</si>
  <si>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</si>
  <si>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</si>
  <si>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</si>
  <si>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</si>
  <si>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</si>
  <si>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</si>
  <si>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</si>
  <si>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</si>
  <si>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</si>
  <si>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</si>
  <si>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</si>
  <si>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</si>
  <si>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</si>
  <si>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</si>
  <si>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</si>
  <si>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</si>
  <si>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</si>
  <si>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</si>
  <si>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</si>
  <si>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</si>
  <si>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</si>
  <si>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</si>
  <si>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</si>
  <si>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</si>
  <si>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</si>
  <si>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</si>
  <si>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</si>
  <si>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</si>
  <si>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</si>
  <si>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</si>
  <si>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</si>
  <si>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</si>
  <si>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</si>
  <si>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</si>
  <si>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</si>
  <si>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</si>
  <si>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</si>
  <si>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</si>
  <si>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</si>
  <si>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</si>
  <si>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</si>
  <si>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</si>
  <si>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</si>
  <si>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</si>
  <si>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</si>
  <si>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</si>
  <si>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</si>
  <si>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</si>
  <si>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</si>
  <si>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</si>
  <si>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</si>
  <si>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</si>
  <si>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</si>
  <si>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</si>
  <si>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</si>
  <si>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</si>
  <si>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</si>
  <si>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</si>
  <si>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</si>
  <si>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</si>
  <si>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</si>
  <si>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</si>
  <si>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</si>
  <si>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</si>
  <si>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</si>
  <si>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</si>
  <si>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</si>
  <si>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</si>
  <si>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</si>
  <si>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</si>
  <si>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</si>
  <si>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</si>
  <si>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</si>
  <si>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</si>
  <si>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</si>
  <si>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</si>
  <si>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</si>
  <si>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</si>
  <si>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</si>
  <si>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</si>
  <si>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</si>
  <si>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</si>
  <si>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</si>
  <si>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</si>
  <si>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</si>
  <si>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</si>
  <si>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</si>
  <si>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</si>
  <si>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</si>
  <si>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</si>
  <si>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</si>
  <si>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</si>
  <si>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</si>
  <si>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</si>
  <si>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</si>
  <si>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</si>
  <si>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</si>
  <si>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</si>
  <si>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</si>
  <si>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</si>
  <si>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</si>
  <si>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</si>
  <si>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</si>
  <si>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</si>
  <si>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</si>
  <si>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</si>
  <si>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</si>
  <si>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</si>
  <si>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</si>
  <si>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</si>
  <si>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</si>
  <si>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</si>
  <si>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</si>
  <si>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</si>
  <si>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</si>
  <si>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</si>
  <si>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</si>
  <si>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</si>
  <si>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</si>
  <si>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</si>
  <si>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</si>
  <si>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</si>
  <si>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</si>
  <si>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</si>
  <si>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</si>
  <si>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</si>
  <si>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</si>
  <si>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</si>
  <si>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</si>
  <si>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</si>
  <si>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</si>
  <si>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</si>
  <si>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</si>
  <si>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</si>
  <si>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</si>
  <si>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</si>
  <si>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</si>
  <si>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</si>
  <si>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</si>
  <si>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</si>
  <si>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</si>
  <si>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</si>
  <si>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</si>
  <si>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</si>
  <si>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</si>
  <si>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</si>
  <si>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</si>
  <si>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</si>
  <si>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</si>
  <si>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</si>
  <si>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</si>
  <si>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</si>
  <si>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</si>
  <si>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</si>
  <si>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</si>
  <si>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</si>
  <si>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</si>
  <si>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</si>
  <si>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</si>
  <si>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</si>
  <si>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</si>
  <si>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</si>
  <si>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</si>
  <si>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</si>
  <si>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</si>
  <si>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</si>
  <si>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</si>
  <si>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</si>
  <si>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</si>
  <si>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</si>
  <si>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</si>
  <si>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</si>
  <si>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</si>
  <si>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</si>
  <si>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</si>
  <si>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</si>
  <si>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</si>
  <si>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</si>
  <si>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</si>
  <si>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</si>
  <si>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</si>
  <si>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</si>
  <si>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</si>
  <si>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</si>
  <si>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</si>
  <si>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</si>
  <si>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</si>
  <si>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</si>
  <si>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</si>
  <si>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</si>
  <si>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</si>
  <si>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</si>
  <si>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</si>
  <si>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</si>
  <si>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</si>
  <si>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</si>
  <si>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</si>
  <si>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</si>
  <si>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</si>
  <si>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</si>
  <si>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</si>
  <si>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</si>
  <si>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</si>
  <si>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</si>
  <si>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</si>
  <si>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</si>
  <si>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</si>
  <si>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</si>
  <si>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</si>
  <si>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</si>
  <si>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</si>
  <si>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</si>
  <si>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</si>
  <si>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</si>
  <si>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</si>
  <si>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</si>
  <si>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</si>
  <si>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</si>
  <si>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</si>
  <si>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</si>
  <si>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</si>
  <si>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</si>
  <si>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</si>
  <si>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</si>
  <si>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</si>
  <si>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</si>
  <si>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</si>
  <si>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</si>
  <si>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</si>
  <si>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</si>
  <si>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</si>
  <si>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</si>
  <si>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</si>
  <si>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</si>
  <si>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</si>
  <si>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</si>
  <si>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</si>
  <si>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</si>
  <si>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</si>
  <si>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</si>
  <si>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</si>
  <si>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</si>
  <si>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</si>
  <si>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</si>
  <si>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</si>
  <si>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</si>
  <si>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</si>
  <si>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</si>
  <si>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</si>
  <si>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</si>
  <si>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</si>
  <si>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</si>
  <si>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</si>
  <si>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</si>
  <si>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</si>
  <si>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</si>
  <si>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</si>
  <si>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</si>
  <si>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</si>
  <si>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</si>
  <si>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</si>
  <si>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</si>
  <si>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</si>
  <si>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</si>
  <si>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</si>
  <si>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</si>
  <si>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</si>
  <si>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</si>
  <si>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</si>
  <si>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</si>
  <si>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</si>
  <si>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</si>
  <si>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</si>
  <si>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</si>
  <si>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</si>
  <si>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</si>
  <si>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</si>
  <si>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</si>
  <si>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</si>
  <si>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</si>
  <si>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</si>
  <si>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</si>
  <si>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</si>
  <si>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</si>
  <si>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</si>
  <si>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</si>
  <si>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</si>
  <si>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</si>
  <si>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</si>
  <si>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</si>
  <si>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</si>
  <si>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</si>
  <si>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</si>
  <si>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</si>
  <si>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</si>
  <si>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</si>
  <si>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</si>
  <si>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</si>
  <si>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</si>
  <si>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</si>
  <si>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</si>
  <si>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</si>
  <si>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</si>
  <si>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</si>
  <si>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</si>
  <si>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</si>
  <si>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</si>
  <si>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</si>
  <si>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</si>
  <si>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</si>
  <si>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</si>
  <si>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</si>
  <si>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</si>
  <si>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</si>
  <si>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</si>
  <si>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</si>
  <si>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</si>
  <si>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</si>
  <si>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</si>
  <si>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</si>
  <si>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</si>
  <si>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</si>
  <si>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</si>
  <si>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</si>
  <si>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</si>
  <si>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</si>
  <si>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</si>
  <si>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</si>
  <si>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</si>
  <si>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</si>
  <si>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</si>
  <si>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</si>
  <si>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</si>
  <si>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</si>
  <si>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</si>
  <si>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</si>
  <si>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</si>
  <si>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</si>
  <si>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</si>
  <si>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</si>
  <si>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</si>
  <si>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</si>
  <si>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</si>
  <si>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</si>
  <si>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</si>
  <si>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</si>
  <si>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</si>
  <si>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</si>
  <si>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</si>
  <si>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</si>
  <si>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</si>
  <si>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</si>
  <si>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</si>
  <si>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</si>
  <si>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</si>
  <si>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</si>
  <si>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</si>
  <si>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</si>
  <si>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</si>
  <si>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</si>
  <si>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</si>
  <si>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</si>
  <si>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</si>
  <si>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</si>
  <si>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</si>
  <si>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</si>
  <si>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</si>
  <si>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</si>
  <si>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</si>
  <si>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</si>
  <si>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</si>
  <si>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</si>
  <si>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</si>
  <si>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</si>
  <si>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</si>
  <si>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</si>
  <si>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</si>
  <si>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</si>
  <si>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</si>
  <si>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</si>
  <si>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</si>
  <si>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</si>
  <si>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</si>
  <si>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</si>
  <si>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</si>
  <si>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</si>
  <si>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</si>
  <si>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</si>
  <si>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</si>
  <si>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</si>
  <si>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</si>
  <si>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</si>
  <si>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</si>
  <si>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</si>
  <si>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</si>
  <si>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</si>
  <si>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</si>
  <si>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</si>
  <si>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</si>
  <si>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</si>
  <si>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</si>
  <si>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</si>
  <si>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</si>
  <si>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</si>
  <si>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</si>
  <si>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</si>
  <si>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</si>
  <si>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</si>
  <si>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</si>
  <si>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</si>
  <si>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</si>
  <si>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</si>
  <si>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</si>
  <si>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</si>
  <si>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</si>
  <si>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</si>
  <si>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</si>
  <si>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</si>
  <si>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</si>
  <si>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</si>
  <si>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</si>
  <si>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</si>
  <si>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</si>
  <si>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</si>
  <si>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</si>
  <si>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</si>
  <si>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</si>
  <si>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</si>
  <si>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</si>
  <si>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</si>
  <si>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</si>
  <si>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</si>
  <si>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</si>
  <si>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</si>
  <si>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</si>
  <si>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</si>
  <si>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</si>
  <si>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</si>
  <si>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</si>
  <si>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</si>
  <si>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</si>
  <si>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</si>
  <si>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</si>
  <si>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</si>
  <si>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</si>
  <si>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</si>
  <si>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</si>
  <si>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</si>
  <si>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</si>
  <si>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</si>
  <si>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</si>
  <si>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</si>
  <si>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</si>
  <si>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</si>
  <si>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</si>
  <si>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</si>
  <si>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</si>
  <si>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</si>
  <si>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</si>
  <si>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</si>
  <si>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</si>
  <si>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</si>
  <si>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</si>
  <si>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</si>
  <si>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</si>
  <si>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</si>
  <si>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</si>
  <si>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</si>
  <si>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</si>
  <si>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</si>
  <si>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</si>
  <si>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</si>
  <si>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</si>
  <si>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</si>
  <si>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</si>
  <si>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</si>
  <si>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</si>
  <si>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</si>
  <si>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</si>
  <si>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</si>
  <si>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</si>
  <si>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</si>
  <si>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</si>
  <si>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</si>
  <si>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</si>
  <si>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</si>
  <si>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</si>
  <si>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</si>
  <si>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</si>
  <si>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</si>
  <si>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</si>
  <si>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</si>
  <si>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</si>
  <si>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</si>
  <si>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</si>
  <si>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</si>
  <si>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</si>
  <si>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</si>
  <si>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</si>
  <si>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</si>
  <si>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</si>
  <si>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</si>
  <si>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</si>
  <si>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</si>
  <si>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</si>
  <si>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</si>
  <si>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</si>
  <si>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</si>
  <si>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</si>
  <si>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</si>
  <si>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</si>
  <si>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</si>
  <si>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</si>
  <si>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</si>
  <si>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</si>
  <si>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</si>
  <si>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</si>
  <si>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</si>
  <si>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</si>
  <si>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</si>
  <si>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</si>
  <si>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</si>
  <si>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</si>
  <si>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</si>
  <si>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</si>
  <si>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</si>
  <si>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</si>
  <si>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</si>
  <si>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</si>
  <si>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</si>
  <si>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</si>
  <si>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</si>
  <si>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</si>
  <si>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</si>
  <si>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</si>
  <si>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</si>
  <si>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</si>
  <si>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</si>
  <si>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</si>
  <si>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</si>
  <si>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</si>
  <si>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</si>
  <si>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</si>
  <si>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</si>
  <si>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</si>
  <si>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</si>
  <si>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</si>
  <si>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</si>
  <si>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</si>
  <si>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</si>
  <si>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</si>
  <si>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</si>
  <si>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</si>
  <si>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</si>
  <si>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</si>
  <si>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</si>
  <si>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</si>
  <si>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</si>
  <si>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</si>
  <si>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</si>
  <si>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</si>
  <si>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</si>
  <si>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</si>
  <si>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</si>
  <si>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</si>
  <si>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</si>
  <si>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</si>
  <si>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</si>
  <si>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</si>
  <si>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</si>
  <si>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</si>
  <si>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</si>
  <si>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</si>
  <si>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</si>
  <si>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</si>
  <si>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</si>
  <si>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</si>
  <si>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</si>
  <si>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</si>
  <si>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</si>
  <si>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</si>
  <si>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</si>
  <si>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</si>
  <si>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</si>
  <si>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</si>
  <si>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</si>
  <si>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</si>
  <si>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</si>
  <si>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</si>
  <si>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</si>
  <si>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</si>
  <si>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</si>
  <si>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</si>
  <si>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</si>
  <si>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</si>
  <si>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</si>
  <si>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</si>
  <si>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</si>
  <si>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</si>
  <si>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</si>
  <si>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</si>
  <si>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</si>
  <si>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</si>
  <si>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</si>
  <si>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</si>
  <si>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</si>
  <si>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</si>
  <si>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</si>
  <si>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</si>
  <si>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</si>
  <si>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</si>
  <si>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</si>
  <si>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</si>
  <si>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</si>
  <si>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</si>
  <si>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</si>
  <si>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</si>
  <si>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</si>
  <si>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</si>
  <si>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</si>
  <si>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</si>
  <si>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</si>
  <si>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</si>
  <si>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</si>
  <si>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</si>
  <si>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</si>
  <si>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</si>
  <si>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</si>
  <si>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</si>
  <si>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</si>
  <si>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</si>
  <si>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</si>
  <si>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</si>
  <si>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</si>
  <si>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</si>
  <si>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</si>
  <si>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</si>
  <si>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</si>
  <si>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</si>
  <si>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</si>
  <si>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</si>
  <si>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</si>
  <si>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</si>
  <si>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</si>
  <si>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</si>
  <si>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</si>
  <si>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</si>
  <si>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</si>
  <si>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</si>
  <si>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</si>
  <si>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</si>
  <si>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</si>
  <si>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</si>
  <si>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</si>
  <si>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</si>
  <si>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</si>
  <si>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</si>
  <si>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</si>
  <si>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</si>
  <si>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</si>
  <si>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</si>
  <si>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</si>
  <si>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</si>
  <si>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</si>
  <si>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</si>
  <si>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</si>
  <si>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</si>
  <si>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</si>
  <si>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</si>
  <si>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</si>
  <si>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</si>
  <si>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</si>
  <si>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</si>
  <si>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</si>
  <si>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</si>
  <si>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</si>
  <si>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</si>
  <si>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</si>
  <si>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</si>
  <si>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</si>
  <si>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</si>
  <si>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</si>
  <si>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</si>
  <si>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</si>
  <si>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</si>
  <si>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</si>
  <si>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</si>
  <si>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</si>
  <si>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</si>
  <si>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</si>
  <si>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</si>
  <si>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</si>
  <si>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</si>
  <si>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</si>
  <si>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</si>
  <si>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</si>
  <si>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</si>
  <si>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</si>
  <si>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</si>
  <si>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</si>
  <si>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</si>
  <si>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</si>
  <si>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</si>
  <si>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</si>
  <si>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</si>
  <si>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</si>
  <si>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</si>
  <si>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</si>
  <si>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</si>
  <si>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</si>
  <si>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</si>
  <si>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</si>
  <si>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</si>
  <si>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</si>
  <si>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</si>
  <si>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</si>
  <si>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</si>
  <si>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</si>
  <si>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</si>
  <si>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</si>
  <si>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</si>
  <si>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</si>
  <si>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</si>
  <si>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</si>
  <si>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</si>
  <si>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</si>
  <si>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</si>
  <si>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</si>
  <si>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</si>
  <si>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</si>
  <si>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</si>
  <si>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</si>
  <si>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</si>
  <si>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</si>
  <si>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</si>
  <si>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</si>
  <si>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</si>
  <si>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</si>
  <si>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</si>
  <si>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</si>
  <si>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</si>
  <si>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</si>
  <si>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</si>
  <si>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</si>
  <si>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</si>
  <si>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</si>
  <si>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</si>
  <si>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</si>
  <si>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</si>
  <si>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</si>
  <si>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</si>
  <si>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</si>
  <si>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</si>
  <si>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</si>
  <si>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</si>
  <si>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</si>
  <si>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</si>
  <si>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</si>
  <si>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</si>
  <si>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</si>
  <si>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</si>
  <si>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</si>
  <si>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</si>
  <si>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</si>
  <si>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</si>
  <si>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</si>
  <si>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</si>
  <si>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</si>
  <si>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</si>
  <si>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</si>
  <si>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</si>
  <si>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</si>
  <si>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</si>
  <si>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</si>
  <si>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</si>
  <si>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</si>
  <si>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</si>
  <si>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</si>
  <si>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</si>
  <si>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</si>
  <si>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</si>
  <si>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</si>
  <si>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</si>
  <si>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</si>
  <si>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</si>
  <si>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</si>
  <si>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</si>
  <si>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</si>
  <si>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</si>
  <si>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</si>
  <si>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</si>
  <si>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</si>
  <si>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</si>
  <si>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</si>
  <si>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</si>
  <si>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</si>
  <si>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</si>
  <si>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</si>
  <si>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</si>
  <si>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</si>
  <si>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</si>
  <si>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</si>
  <si>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</si>
  <si>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</si>
  <si>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</si>
  <si>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</si>
  <si>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</si>
  <si>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</si>
  <si>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</si>
  <si>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</si>
  <si>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</si>
  <si>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</si>
  <si>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</si>
  <si>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</si>
  <si>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</si>
  <si>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</si>
  <si>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</si>
  <si>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</si>
  <si>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</si>
  <si>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</si>
  <si>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</si>
  <si>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</si>
  <si>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</si>
  <si>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</si>
  <si>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</si>
  <si>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</si>
  <si>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</si>
  <si>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</si>
  <si>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</si>
  <si>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</si>
  <si>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</si>
  <si>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</si>
  <si>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</si>
  <si>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</si>
  <si>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</si>
  <si>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</si>
  <si>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</si>
  <si>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</si>
  <si>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</si>
  <si>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</si>
  <si>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</si>
  <si>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</si>
  <si>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</si>
  <si>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</si>
  <si>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</si>
  <si>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</si>
  <si>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</si>
  <si>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</si>
  <si>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</si>
  <si>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</si>
  <si>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</si>
  <si>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</si>
  <si>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</si>
  <si>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</si>
  <si>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</si>
  <si>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</si>
  <si>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</si>
  <si>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</si>
  <si>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</si>
  <si>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</si>
  <si>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</si>
  <si>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</si>
  <si>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</si>
  <si>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</si>
  <si>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</si>
  <si>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</si>
  <si>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</si>
  <si>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</si>
  <si>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</si>
  <si>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</si>
  <si>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</si>
  <si>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</si>
  <si>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</si>
  <si>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</si>
  <si>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</si>
  <si>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</si>
  <si>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</si>
  <si>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</si>
  <si>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</si>
  <si>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</si>
  <si>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</si>
  <si>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</si>
  <si>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</si>
  <si>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</si>
  <si>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</si>
  <si>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</si>
  <si>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</si>
  <si>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</si>
  <si>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</si>
  <si>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</si>
  <si>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</si>
  <si>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</si>
  <si>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</si>
  <si>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</si>
  <si>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</si>
  <si>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</si>
  <si>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</si>
  <si>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</si>
  <si>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</si>
  <si>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</si>
  <si>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</si>
  <si>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</si>
  <si>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</si>
  <si>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</si>
  <si>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</si>
  <si>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</si>
  <si>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</si>
  <si>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</si>
  <si>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</si>
  <si>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</si>
  <si>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</si>
  <si>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</si>
  <si>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</si>
  <si>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</si>
  <si>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</si>
  <si>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</si>
  <si>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</si>
  <si>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</si>
  <si>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</si>
  <si>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</si>
  <si>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</si>
  <si>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</si>
  <si>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</si>
  <si>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</si>
  <si>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</si>
  <si>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</si>
  <si>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</si>
  <si>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</si>
  <si>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</si>
  <si>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</si>
  <si>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</si>
  <si>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</si>
  <si>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</si>
  <si>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</si>
  <si>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</si>
  <si>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</si>
  <si>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</si>
  <si>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</si>
  <si>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</si>
  <si>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</si>
  <si>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</si>
  <si>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</si>
  <si>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</si>
  <si>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</si>
  <si>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</si>
  <si>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</si>
  <si>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</si>
  <si>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</si>
  <si>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</si>
  <si>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</si>
  <si>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</si>
  <si>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</si>
  <si>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</si>
  <si>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</si>
  <si>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</si>
  <si>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</si>
  <si>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</si>
  <si>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</si>
  <si>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</si>
  <si>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</si>
  <si>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</si>
  <si>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</si>
  <si>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</si>
  <si>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</si>
  <si>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</si>
  <si>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</si>
  <si>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</si>
  <si>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</si>
  <si>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</si>
  <si>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</si>
  <si>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</si>
  <si>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</si>
  <si>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</si>
  <si>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</si>
  <si>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</si>
  <si>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</si>
  <si>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</si>
  <si>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</si>
  <si>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</si>
  <si>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</si>
  <si>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</si>
  <si>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</si>
  <si>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</si>
  <si>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</si>
  <si>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</si>
  <si>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</si>
  <si>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</si>
  <si>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</si>
  <si>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</si>
  <si>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</si>
  <si>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</si>
  <si>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</si>
  <si>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</si>
  <si>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</si>
  <si>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</si>
  <si>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</si>
  <si>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</si>
  <si>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</si>
  <si>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</si>
  <si>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</si>
  <si>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</si>
  <si>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</si>
  <si>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</si>
  <si>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</si>
  <si>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</si>
  <si>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</si>
  <si>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</si>
  <si>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</si>
  <si>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</si>
  <si>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</si>
  <si>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</si>
  <si>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</si>
  <si>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</si>
  <si>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</si>
  <si>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</si>
  <si>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</si>
  <si>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</si>
  <si>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</si>
  <si>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</si>
  <si>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</si>
  <si>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</si>
  <si>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</si>
  <si>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</si>
  <si>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</si>
  <si>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</si>
  <si>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</si>
  <si>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</si>
  <si>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</si>
  <si>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</si>
  <si>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</si>
  <si>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</si>
  <si>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</si>
  <si>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</si>
  <si>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</si>
  <si>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</si>
  <si>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</si>
  <si>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</si>
  <si>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</si>
  <si>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</si>
  <si>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</si>
  <si>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</si>
  <si>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</si>
  <si>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</si>
  <si>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</si>
  <si>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</si>
  <si>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</si>
  <si>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</si>
  <si>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</si>
  <si>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</si>
  <si>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</si>
  <si>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</si>
  <si>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</si>
  <si>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</si>
  <si>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</si>
  <si>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</si>
  <si>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</si>
  <si>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</si>
  <si>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</si>
  <si>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</si>
  <si>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</si>
  <si>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</si>
  <si>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</si>
  <si>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</si>
  <si>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</si>
  <si>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</si>
  <si>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</si>
  <si>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</si>
  <si>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</si>
  <si>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</si>
  <si>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</si>
  <si>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</si>
  <si>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</si>
  <si>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</si>
  <si>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</si>
  <si>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</si>
  <si>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</si>
  <si>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</si>
  <si>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</si>
  <si>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</si>
  <si>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</si>
  <si>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</si>
  <si>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</si>
  <si>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</si>
  <si>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</si>
  <si>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</si>
  <si>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</si>
  <si>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</si>
  <si>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</si>
  <si>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</si>
  <si>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</si>
  <si>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</si>
  <si>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</si>
  <si>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</si>
  <si>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</si>
  <si>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</si>
  <si>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</si>
  <si>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</si>
  <si>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</si>
  <si>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</si>
  <si>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</si>
  <si>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</si>
  <si>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</si>
  <si>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</si>
  <si>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</si>
  <si>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</si>
  <si>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</si>
  <si>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</si>
  <si>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</si>
  <si>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</si>
  <si>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</si>
  <si>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</si>
  <si>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</si>
  <si>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</si>
  <si>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</si>
  <si>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</si>
  <si>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</si>
  <si>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</si>
  <si>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</si>
  <si>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</si>
  <si>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</si>
  <si>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</si>
  <si>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</si>
  <si>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</si>
  <si>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</si>
  <si>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</si>
  <si>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</si>
  <si>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</si>
  <si>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</si>
  <si>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</si>
  <si>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</si>
  <si>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</si>
  <si>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</si>
  <si>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</si>
  <si>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</si>
  <si>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</si>
  <si>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</si>
  <si>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</si>
  <si>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</si>
  <si>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</si>
  <si>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</si>
  <si>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</si>
  <si>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</si>
  <si>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</si>
  <si>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</si>
  <si>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</si>
  <si>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</si>
  <si>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</si>
  <si>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</si>
  <si>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</si>
  <si>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</si>
  <si>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</si>
  <si>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</si>
  <si>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</si>
  <si>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</si>
  <si>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</si>
  <si>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</si>
  <si>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</si>
  <si>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</si>
  <si>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</si>
  <si>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</si>
  <si>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</si>
  <si>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</si>
  <si>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</si>
  <si>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</si>
  <si>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</si>
  <si>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</si>
  <si>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</si>
  <si>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</si>
  <si>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</si>
  <si>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</si>
  <si>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</si>
  <si>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</si>
  <si>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</si>
  <si>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</si>
  <si>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</si>
  <si>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</si>
  <si>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</si>
  <si>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</si>
  <si>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</si>
  <si>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</si>
  <si>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</si>
  <si>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</si>
  <si>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</si>
  <si>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</si>
  <si>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</si>
  <si>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</si>
  <si>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</si>
  <si>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</si>
  <si>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</si>
  <si>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</si>
  <si>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</si>
  <si>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</si>
  <si>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</si>
  <si>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</si>
  <si>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</si>
  <si>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</si>
  <si>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</si>
  <si>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</si>
  <si>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</si>
  <si>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</si>
  <si>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</si>
  <si>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</si>
  <si>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</si>
  <si>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</si>
  <si>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</si>
  <si>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</si>
  <si>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</si>
  <si>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</si>
  <si>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</si>
  <si>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</si>
  <si>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</si>
  <si>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</si>
  <si>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</si>
  <si>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</si>
  <si>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</si>
  <si>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</si>
  <si>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</si>
  <si>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</si>
  <si>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</si>
  <si>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</si>
  <si>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</si>
  <si>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</si>
  <si>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</si>
  <si>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</si>
  <si>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</si>
  <si>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</si>
  <si>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</si>
  <si>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</si>
  <si>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</si>
  <si>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</si>
  <si>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</si>
  <si>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</si>
  <si>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</si>
  <si>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</si>
  <si>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</si>
  <si>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</si>
  <si>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</si>
  <si>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</si>
  <si>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</si>
  <si>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</si>
  <si>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</si>
  <si>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</si>
  <si>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</si>
  <si>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</si>
  <si>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</si>
  <si>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</si>
  <si>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</si>
  <si>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</si>
  <si>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</si>
  <si>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</si>
  <si>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</si>
  <si>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</si>
  <si>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</si>
  <si>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</si>
  <si>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</si>
  <si>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</si>
  <si>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</si>
  <si>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</si>
  <si>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</si>
  <si>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</si>
  <si>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</si>
  <si>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</si>
  <si>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</si>
  <si>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</si>
  <si>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</si>
  <si>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</si>
  <si>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</si>
  <si>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</si>
  <si>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</si>
  <si>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</si>
  <si>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</si>
  <si>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</si>
  <si>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</si>
  <si>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</si>
  <si>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</si>
  <si>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</si>
  <si>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</si>
  <si>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</si>
  <si>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</si>
  <si>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</si>
  <si>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</si>
  <si>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</si>
  <si>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</si>
  <si>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</si>
  <si>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</si>
  <si>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</si>
  <si>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</si>
  <si>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</si>
  <si>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</si>
  <si>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</si>
  <si>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</si>
  <si>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</si>
  <si>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</si>
  <si>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</si>
  <si>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</si>
  <si>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</si>
  <si>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</si>
  <si>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</si>
  <si>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</si>
  <si>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</si>
  <si>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</si>
  <si>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</si>
  <si>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</si>
  <si>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</si>
  <si>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</si>
  <si>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</si>
  <si>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</si>
  <si>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</si>
  <si>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</si>
  <si>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</si>
  <si>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</si>
  <si>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</si>
  <si>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</si>
  <si>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</si>
  <si>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</si>
  <si>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</si>
  <si>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</si>
  <si>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</si>
  <si>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</si>
  <si>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</si>
  <si>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</si>
  <si>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</si>
  <si>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</si>
  <si>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</si>
  <si>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</si>
  <si>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</si>
  <si>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</si>
  <si>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</si>
  <si>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</si>
  <si>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</si>
  <si>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</si>
  <si>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</si>
  <si>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</si>
  <si>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</si>
  <si>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</si>
  <si>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</si>
  <si>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</si>
  <si>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</si>
  <si>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</si>
  <si>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</si>
  <si>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</si>
  <si>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</si>
  <si>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</si>
  <si>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</si>
  <si>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</si>
  <si>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</si>
  <si>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</si>
  <si>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</si>
  <si>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</si>
  <si>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</si>
  <si>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</si>
  <si>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</si>
  <si>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</si>
  <si>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</si>
  <si>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</si>
  <si>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</si>
  <si>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</si>
  <si>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</si>
  <si>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</si>
  <si>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</si>
  <si>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</si>
  <si>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</si>
  <si>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</si>
  <si>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</si>
  <si>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</si>
  <si>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</si>
  <si>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</si>
  <si>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</si>
  <si>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</si>
  <si>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</si>
  <si>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</si>
  <si>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</si>
  <si>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</si>
  <si>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</si>
  <si>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</si>
  <si>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</si>
  <si>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</si>
  <si>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</si>
  <si>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</si>
  <si>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</si>
  <si>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</si>
  <si>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</si>
  <si>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</si>
  <si>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</si>
  <si>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</si>
  <si>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</si>
  <si>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</si>
  <si>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</si>
  <si>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</si>
  <si>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</si>
  <si>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</si>
  <si>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</si>
  <si>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</si>
  <si>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</si>
  <si>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</si>
  <si>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</si>
  <si>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</si>
  <si>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</si>
  <si>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</si>
  <si>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</si>
  <si>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</si>
  <si>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</si>
  <si>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</si>
  <si>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</si>
  <si>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</si>
  <si>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</si>
  <si>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</si>
  <si>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</si>
  <si>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</si>
  <si>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</si>
  <si>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</si>
  <si>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</si>
  <si>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</si>
  <si>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</si>
  <si>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</si>
  <si>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</si>
  <si>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</si>
  <si>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</si>
  <si>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</si>
  <si>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</si>
  <si>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</si>
  <si>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</si>
  <si>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</si>
  <si>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</si>
  <si>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</si>
  <si>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</si>
  <si>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</si>
  <si>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</si>
  <si>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</si>
  <si>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</si>
  <si>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</si>
  <si>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</si>
  <si>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</si>
  <si>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</si>
  <si>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</si>
  <si>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</si>
  <si>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</si>
  <si>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</si>
  <si>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</si>
  <si>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</si>
  <si>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</si>
  <si>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</si>
  <si>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</si>
  <si>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</si>
  <si>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</si>
  <si>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</si>
  <si>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</si>
  <si>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</si>
  <si>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</si>
  <si>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</si>
  <si>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</si>
  <si>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</si>
  <si>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</si>
  <si>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</si>
  <si>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</si>
  <si>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</si>
  <si>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</si>
  <si>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</si>
  <si>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</si>
  <si>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</si>
  <si>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</si>
  <si>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</si>
  <si>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</si>
  <si>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</si>
  <si>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</si>
  <si>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</si>
  <si>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</si>
  <si>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</si>
  <si>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</si>
  <si>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</si>
  <si>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</si>
  <si>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</si>
  <si>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</si>
  <si>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</si>
  <si>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</si>
  <si>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</si>
  <si>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</si>
  <si>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</si>
  <si>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</si>
  <si>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</si>
  <si>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</si>
  <si>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</si>
  <si>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</si>
  <si>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</si>
  <si>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</si>
  <si>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</si>
  <si>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</si>
  <si>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</si>
  <si>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</si>
  <si>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</si>
  <si>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</si>
  <si>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</si>
  <si>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</si>
  <si>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</si>
  <si>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</si>
  <si>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</si>
  <si>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</si>
  <si>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</si>
  <si>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</si>
  <si>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</si>
  <si>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</si>
  <si>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</si>
  <si>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</si>
  <si>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</si>
  <si>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</si>
  <si>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</si>
  <si>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</si>
  <si>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</si>
  <si>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</si>
  <si>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</si>
  <si>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</si>
  <si>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</si>
  <si>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</si>
  <si>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</si>
  <si>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</si>
  <si>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</si>
  <si>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</si>
  <si>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</si>
  <si>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</si>
  <si>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</si>
  <si>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</si>
  <si>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</si>
  <si>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</si>
  <si>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</si>
  <si>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</si>
  <si>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</si>
  <si>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</si>
  <si>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</si>
  <si>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</si>
  <si>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</si>
  <si>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</si>
  <si>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</si>
  <si>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</si>
  <si>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</si>
  <si>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</si>
  <si>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</si>
  <si>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</si>
  <si>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</si>
  <si>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</si>
  <si>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</si>
  <si>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</si>
  <si>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</si>
  <si>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</si>
  <si>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</si>
  <si>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</si>
  <si>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</si>
  <si>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</si>
  <si>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</si>
  <si>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</si>
  <si>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</si>
  <si>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</si>
  <si>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</si>
  <si>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</si>
  <si>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</si>
  <si>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</si>
  <si>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</si>
  <si>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</si>
  <si>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</si>
  <si>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</si>
  <si>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</si>
  <si>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</si>
  <si>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</si>
  <si>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</si>
  <si>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</si>
  <si>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</si>
  <si>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</si>
  <si>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</si>
  <si>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</si>
  <si>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</si>
  <si>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</si>
  <si>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</si>
  <si>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</si>
  <si>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</si>
  <si>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</si>
  <si>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</si>
  <si>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</si>
  <si>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</si>
  <si>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</si>
  <si>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</si>
  <si>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</si>
  <si>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</si>
  <si>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</si>
  <si>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</si>
  <si>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</si>
  <si>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</si>
  <si>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</si>
  <si>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</si>
  <si>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</si>
  <si>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</si>
  <si>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</si>
  <si>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</si>
  <si>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</si>
  <si>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</si>
  <si>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</si>
  <si>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</si>
  <si>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</si>
  <si>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</si>
  <si>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</si>
  <si>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</si>
  <si>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</si>
  <si>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</si>
  <si>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</si>
  <si>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</si>
  <si>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</si>
  <si>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</si>
  <si>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</si>
  <si>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</si>
  <si>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</si>
  <si>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</si>
  <si>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</si>
  <si>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</si>
  <si>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</si>
  <si>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</si>
  <si>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</si>
  <si>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</si>
  <si>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</si>
  <si>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</si>
  <si>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</si>
  <si>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</si>
  <si>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</si>
  <si>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</si>
  <si>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</si>
  <si>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</si>
  <si>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</si>
  <si>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</si>
  <si>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</si>
  <si>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</si>
  <si>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</si>
  <si>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</si>
  <si>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</si>
  <si>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</si>
  <si>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</si>
  <si>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</si>
  <si>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</si>
  <si>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</si>
  <si>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</si>
  <si>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</si>
  <si>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</si>
  <si>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</si>
  <si>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</si>
  <si>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</si>
  <si>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</si>
  <si>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</si>
  <si>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</si>
  <si>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</si>
  <si>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</si>
  <si>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</si>
  <si>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</si>
  <si>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</si>
  <si>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</si>
  <si>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</si>
  <si>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</si>
  <si>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</si>
  <si>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</si>
  <si>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</si>
  <si>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</si>
  <si>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</si>
  <si>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</si>
  <si>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</si>
  <si>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</si>
  <si>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</si>
  <si>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</si>
  <si>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</si>
  <si>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</si>
  <si>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</si>
  <si>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</si>
  <si>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</si>
  <si>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</si>
  <si>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</si>
  <si>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</si>
  <si>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</si>
  <si>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</si>
  <si>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</si>
  <si>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</si>
  <si>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</si>
  <si>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</si>
  <si>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</si>
  <si>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</si>
  <si>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</si>
  <si>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</si>
  <si>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</si>
  <si>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</si>
  <si>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</si>
  <si>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</si>
  <si>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</si>
  <si>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</si>
  <si>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</si>
  <si>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</si>
  <si>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</si>
  <si>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</si>
  <si>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</si>
  <si>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</si>
  <si>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</si>
  <si>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</si>
  <si>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</si>
  <si>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</si>
  <si>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</si>
  <si>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</si>
  <si>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</si>
  <si>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</si>
  <si>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</si>
  <si>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</si>
  <si>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</si>
  <si>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</si>
  <si>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</si>
  <si>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</si>
  <si>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</si>
  <si>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</si>
  <si>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</si>
  <si>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</si>
  <si>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</si>
  <si>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</si>
  <si>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</si>
  <si>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</si>
  <si>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</si>
  <si>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</si>
  <si>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</si>
  <si>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</si>
  <si>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</si>
  <si>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</si>
  <si>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</si>
  <si>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</si>
  <si>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</si>
  <si>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</si>
  <si>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</si>
  <si>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</si>
  <si>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</si>
  <si>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</si>
  <si>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</si>
  <si>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</si>
  <si>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</si>
  <si>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</si>
  <si>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</si>
  <si>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</si>
  <si>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</si>
  <si>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</si>
  <si>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</si>
  <si>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</si>
  <si>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</si>
  <si>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</si>
  <si>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</si>
  <si>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</si>
  <si>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</si>
  <si>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</si>
  <si>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</si>
  <si>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</si>
  <si>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</si>
  <si>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</si>
  <si>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</si>
  <si>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</si>
  <si>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</si>
  <si>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</si>
  <si>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</si>
  <si>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</si>
  <si>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</si>
  <si>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</si>
  <si>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</si>
  <si>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</si>
  <si>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</si>
  <si>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</si>
  <si>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</si>
  <si>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</si>
  <si>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</si>
  <si>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</si>
  <si>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</si>
  <si>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</si>
  <si>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</si>
  <si>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</si>
  <si>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</si>
  <si>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</si>
  <si>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</si>
  <si>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</si>
  <si>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</si>
  <si>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</si>
  <si>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</si>
  <si>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</si>
  <si>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</si>
  <si>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</si>
  <si>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</si>
  <si>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</si>
  <si>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</si>
  <si>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</si>
  <si>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</si>
  <si>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</si>
  <si>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</si>
  <si>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</si>
  <si>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</si>
  <si>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</si>
  <si>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</si>
  <si>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</si>
  <si>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</si>
  <si>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</si>
  <si>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</si>
  <si>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</si>
  <si>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</si>
  <si>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</si>
  <si>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</si>
  <si>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</si>
  <si>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</si>
  <si>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</si>
  <si>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</si>
  <si>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</si>
  <si>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</si>
  <si>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</si>
  <si>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</si>
  <si>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</si>
  <si>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</si>
  <si>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</si>
  <si>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</si>
  <si>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</si>
  <si>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</si>
  <si>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</si>
  <si>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</si>
  <si>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</si>
  <si>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</si>
  <si>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</si>
  <si>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</si>
  <si>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</si>
  <si>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</si>
  <si>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</si>
  <si>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</si>
  <si>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</si>
  <si>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</si>
  <si>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</si>
  <si>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</si>
  <si>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</si>
  <si>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</si>
  <si>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</si>
  <si>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</si>
  <si>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</si>
  <si>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</si>
  <si>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</si>
  <si>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</si>
  <si>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</si>
  <si>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</si>
  <si>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</si>
  <si>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</si>
  <si>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</si>
  <si>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</si>
  <si>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</si>
  <si>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</si>
  <si>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</si>
  <si>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</si>
  <si>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</si>
  <si>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</si>
  <si>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</si>
  <si>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</si>
  <si>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</si>
  <si>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</si>
  <si>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</si>
  <si>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</si>
  <si>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</si>
  <si>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</si>
  <si>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</si>
  <si>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</si>
  <si>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</si>
  <si>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</si>
  <si>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</si>
  <si>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</si>
  <si>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</si>
  <si>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</si>
  <si>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</si>
  <si>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</si>
  <si>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</si>
  <si>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</si>
  <si>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</si>
  <si>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</si>
  <si>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</si>
  <si>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</si>
  <si>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</si>
  <si>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</si>
  <si>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</si>
  <si>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</si>
  <si>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</si>
  <si>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</si>
  <si>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</si>
  <si>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</si>
  <si>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</si>
  <si>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</si>
  <si>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</si>
  <si>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</si>
  <si>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</si>
  <si>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</si>
  <si>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</si>
  <si>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</si>
  <si>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</si>
  <si>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</si>
  <si>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</si>
  <si>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</si>
  <si>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</si>
  <si>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</si>
  <si>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</si>
  <si>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</si>
  <si>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</si>
  <si>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</si>
  <si>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</si>
  <si>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</si>
  <si>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</si>
  <si>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</si>
  <si>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</si>
  <si>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</si>
  <si>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</si>
  <si>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</si>
  <si>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</si>
  <si>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</si>
  <si>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</si>
  <si>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</si>
  <si>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</si>
  <si>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</si>
  <si>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</si>
  <si>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</si>
  <si>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</si>
  <si>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</si>
  <si>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</si>
  <si>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</si>
  <si>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</si>
  <si>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</si>
  <si>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</si>
  <si>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</si>
  <si>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</si>
  <si>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</si>
  <si>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</si>
  <si>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</si>
  <si>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</si>
  <si>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</si>
  <si>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</si>
  <si>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</si>
  <si>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</si>
  <si>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</si>
  <si>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</si>
  <si>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</si>
  <si>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</si>
  <si>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</si>
  <si>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</si>
  <si>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</si>
  <si>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</si>
  <si>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</si>
  <si>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</si>
  <si>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</si>
  <si>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</si>
  <si>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</si>
  <si>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</si>
  <si>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</si>
  <si>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</si>
  <si>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</si>
  <si>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</si>
  <si>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</si>
  <si>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</si>
  <si>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</si>
  <si>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</si>
  <si>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</si>
  <si>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</si>
  <si>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</si>
  <si>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</si>
  <si>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</si>
  <si>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</si>
  <si>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</si>
  <si>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</si>
  <si>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</si>
  <si>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</si>
  <si>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</si>
  <si>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</si>
  <si>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</si>
  <si>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</si>
  <si>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</si>
  <si>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</si>
  <si>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</si>
  <si>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</si>
  <si>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</si>
  <si>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</si>
  <si>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</si>
  <si>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</si>
  <si>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</si>
  <si>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</si>
  <si>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</si>
  <si>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</si>
  <si>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</si>
  <si>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</si>
  <si>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</si>
  <si>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</si>
  <si>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</si>
  <si>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</si>
  <si>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</si>
  <si>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</si>
  <si>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</si>
  <si>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</si>
  <si>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</si>
  <si>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</si>
  <si>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</si>
  <si>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</si>
  <si>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</si>
  <si>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</si>
  <si>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</si>
  <si>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</si>
  <si>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</si>
  <si>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</si>
  <si>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</si>
  <si>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</si>
  <si>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</si>
  <si>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</si>
  <si>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</si>
  <si>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</si>
  <si>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</si>
  <si>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</si>
  <si>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</si>
  <si>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</si>
  <si>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</si>
  <si>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</si>
  <si>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</si>
  <si>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</si>
  <si>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</si>
  <si>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</si>
  <si>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</si>
  <si>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</si>
  <si>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</si>
  <si>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</si>
  <si>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</si>
  <si>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</si>
  <si>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</si>
  <si>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</si>
  <si>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</si>
  <si>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</si>
  <si>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</si>
  <si>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</si>
  <si>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</si>
  <si>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</si>
  <si>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</si>
  <si>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</si>
  <si>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</si>
  <si>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</si>
  <si>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</si>
  <si>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</si>
  <si>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</si>
  <si>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</si>
  <si>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</si>
  <si>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</si>
  <si>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</si>
  <si>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</si>
  <si>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</si>
  <si>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</si>
  <si>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</si>
  <si>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</si>
  <si>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</si>
  <si>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</si>
  <si>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</si>
  <si>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</si>
  <si>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</si>
  <si>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</si>
  <si>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</si>
  <si>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</si>
  <si>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</si>
  <si>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</si>
  <si>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</si>
  <si>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</si>
  <si>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</si>
  <si>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</si>
  <si>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</si>
  <si>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</si>
  <si>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</si>
  <si>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</si>
  <si>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</si>
  <si>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</si>
  <si>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</si>
  <si>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</si>
  <si>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</si>
  <si>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</si>
  <si>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</si>
  <si>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</si>
  <si>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</si>
  <si>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</si>
  <si>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</si>
  <si>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</si>
  <si>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</si>
  <si>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</si>
  <si>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</si>
  <si>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</si>
  <si>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</si>
  <si>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</si>
  <si>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</si>
  <si>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</si>
  <si>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</si>
  <si>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</si>
  <si>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</si>
  <si>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</si>
  <si>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</si>
  <si>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</si>
  <si>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</si>
  <si>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</si>
  <si>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</si>
  <si>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</si>
  <si>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</si>
  <si>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</si>
  <si>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</si>
  <si>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</si>
  <si>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</si>
  <si>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</si>
  <si>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</si>
  <si>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</si>
  <si>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</si>
  <si>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</si>
  <si>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</si>
  <si>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</si>
  <si>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</si>
  <si>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</si>
  <si>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</si>
  <si>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</si>
  <si>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</si>
  <si>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</si>
  <si>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</si>
  <si>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</si>
  <si>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</si>
  <si>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</si>
  <si>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</si>
  <si>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</si>
  <si>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</si>
  <si>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</si>
  <si>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</si>
  <si>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</si>
  <si>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</si>
  <si>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</si>
  <si>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</si>
  <si>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</si>
  <si>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</si>
  <si>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</si>
  <si>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</si>
  <si>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</si>
  <si>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</si>
  <si>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</si>
  <si>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</si>
  <si>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</si>
  <si>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</si>
  <si>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</si>
  <si>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</si>
  <si>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</si>
  <si>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</si>
  <si>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</si>
  <si>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</si>
  <si>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</si>
  <si>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</si>
  <si>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</si>
  <si>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</si>
  <si>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</si>
  <si>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</si>
  <si>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</si>
  <si>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</si>
  <si>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</si>
  <si>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</si>
  <si>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</si>
  <si>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</si>
  <si>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</si>
  <si>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</si>
  <si>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</si>
  <si>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</si>
  <si>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</si>
  <si>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</si>
  <si>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</si>
  <si>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</si>
  <si>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</si>
  <si>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</si>
  <si>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</si>
  <si>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</si>
  <si>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</si>
  <si>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</si>
  <si>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</si>
  <si>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</si>
  <si>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</si>
  <si>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</si>
  <si>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</si>
  <si>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</si>
  <si>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</si>
  <si>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</si>
  <si>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</si>
  <si>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</si>
  <si>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</si>
  <si>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</si>
  <si>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</si>
  <si>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</si>
  <si>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</si>
  <si>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</si>
  <si>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</si>
  <si>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</si>
  <si>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</si>
  <si>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</si>
  <si>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</si>
  <si>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</si>
  <si>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</si>
  <si>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</si>
  <si>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</si>
  <si>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</si>
  <si>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</si>
  <si>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</si>
  <si>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</si>
  <si>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</si>
  <si>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</si>
  <si>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</si>
  <si>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</si>
  <si>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</si>
  <si>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</si>
  <si>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</si>
  <si>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</si>
  <si>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</si>
  <si>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</si>
  <si>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</si>
  <si>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</si>
  <si>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</si>
  <si>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</si>
  <si>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</si>
  <si>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</si>
  <si>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</si>
  <si>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</si>
  <si>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</si>
  <si>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</si>
  <si>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</si>
  <si>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</si>
  <si>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</si>
  <si>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</si>
  <si>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</si>
  <si>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</si>
  <si>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</si>
  <si>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</si>
  <si>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</si>
  <si>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</si>
  <si>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</si>
  <si>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</si>
  <si>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</si>
  <si>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</si>
  <si>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</si>
  <si>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</si>
  <si>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</si>
  <si>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</si>
  <si>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</si>
  <si>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</si>
  <si>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</si>
  <si>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</si>
  <si>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</si>
  <si>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</si>
  <si>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</si>
  <si>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</si>
  <si>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</si>
  <si>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</si>
  <si>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</si>
  <si>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</si>
  <si>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</si>
  <si>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</si>
  <si>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</si>
  <si>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</si>
  <si>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</si>
  <si>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</si>
  <si>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</si>
  <si>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</si>
  <si>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</si>
  <si>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</si>
  <si>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</si>
  <si>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</si>
  <si>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</si>
  <si>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</si>
  <si>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</si>
  <si>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</si>
  <si>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</si>
  <si>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</si>
  <si>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</si>
  <si>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</si>
  <si>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</si>
  <si>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</si>
  <si>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</si>
  <si>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</si>
  <si>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</si>
  <si>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</si>
  <si>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</si>
  <si>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</si>
  <si>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</si>
  <si>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</si>
  <si>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</si>
  <si>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</si>
  <si>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</si>
  <si>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</si>
  <si>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</si>
  <si>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</si>
  <si>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</si>
  <si>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</si>
  <si>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</si>
  <si>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</si>
  <si>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</si>
  <si>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</si>
  <si>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</si>
  <si>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</si>
  <si>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</si>
  <si>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</si>
  <si>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</si>
  <si>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</si>
  <si>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</si>
  <si>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</si>
  <si>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</si>
  <si>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</si>
  <si>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</si>
  <si>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</si>
  <si>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</si>
  <si>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</si>
  <si>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</si>
  <si>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</si>
  <si>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</si>
  <si>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</si>
  <si>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</si>
  <si>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</si>
  <si>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</si>
  <si>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</si>
  <si>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</si>
  <si>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</si>
  <si>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</si>
  <si>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</si>
  <si>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</si>
  <si>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</si>
  <si>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</si>
  <si>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</si>
  <si>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</si>
  <si>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</si>
  <si>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</si>
  <si>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</si>
  <si>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</si>
  <si>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</si>
  <si>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</si>
  <si>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</si>
  <si>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</si>
  <si>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</si>
  <si>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</si>
  <si>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</si>
  <si>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</si>
  <si>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</si>
  <si>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</si>
  <si>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</si>
  <si>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</si>
  <si>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</si>
  <si>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</si>
  <si>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</si>
  <si>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</si>
  <si>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</si>
  <si>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</si>
  <si>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</si>
  <si>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</si>
  <si>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</si>
  <si>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</si>
  <si>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</si>
  <si>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</si>
  <si>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</si>
  <si>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</si>
  <si>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</si>
  <si>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</si>
  <si>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</si>
  <si>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</si>
  <si>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</si>
  <si>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</si>
  <si>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</si>
  <si>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</si>
  <si>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</si>
  <si>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</si>
  <si>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</si>
  <si>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</si>
  <si>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</si>
  <si>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</si>
  <si>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</si>
  <si>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</si>
  <si>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</si>
  <si>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</si>
  <si>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</si>
  <si>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</si>
  <si>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</si>
  <si>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</si>
  <si>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</si>
  <si>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</si>
  <si>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</si>
  <si>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</si>
  <si>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</si>
  <si>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</si>
  <si>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</si>
  <si>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</si>
  <si>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</si>
  <si>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</si>
  <si>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</si>
  <si>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</si>
  <si>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</si>
  <si>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</si>
  <si>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</si>
  <si>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</si>
  <si>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</si>
  <si>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</si>
  <si>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</si>
  <si>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</si>
  <si>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</si>
  <si>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</si>
  <si>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</si>
  <si>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</si>
  <si>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</si>
  <si>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</si>
  <si>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</si>
  <si>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</si>
  <si>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</si>
  <si>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</si>
  <si>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</si>
  <si>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</si>
  <si>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</si>
  <si>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</si>
  <si>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</si>
  <si>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</si>
  <si>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</si>
  <si>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</si>
  <si>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</si>
  <si>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</si>
  <si>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</si>
  <si>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</si>
  <si>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</si>
  <si>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</si>
  <si>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</si>
  <si>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</si>
  <si>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</si>
  <si>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</si>
  <si>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</si>
  <si>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</si>
  <si>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</si>
  <si>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</si>
  <si>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</si>
  <si>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</si>
  <si>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</si>
  <si>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</si>
  <si>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</si>
  <si>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</si>
  <si>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</si>
  <si>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</si>
  <si>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</si>
  <si>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</si>
  <si>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</si>
  <si>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</si>
  <si>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</si>
  <si>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</si>
  <si>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</si>
  <si>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</si>
  <si>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</si>
  <si>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</si>
  <si>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</si>
  <si>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</si>
  <si>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</si>
  <si>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</si>
  <si>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</si>
  <si>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</si>
  <si>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</si>
  <si>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</si>
  <si>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</si>
  <si>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</si>
  <si>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</si>
  <si>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</si>
  <si>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</si>
  <si>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</si>
  <si>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</si>
  <si>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</si>
  <si>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</si>
  <si>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</si>
  <si>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</si>
  <si>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</si>
  <si>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</si>
  <si>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</si>
  <si>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</si>
  <si>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</si>
  <si>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</si>
  <si>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</si>
  <si>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</si>
  <si>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</si>
  <si>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</si>
  <si>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</si>
  <si>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</si>
  <si>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</si>
  <si>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</si>
  <si>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</si>
  <si>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</si>
  <si>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</si>
  <si>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</si>
  <si>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</si>
  <si>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</si>
  <si>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</si>
  <si>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</si>
  <si>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</si>
  <si>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</si>
  <si>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</si>
  <si>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</si>
  <si>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</si>
  <si>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</si>
  <si>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</si>
  <si>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</si>
  <si>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</si>
  <si>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</si>
  <si>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</si>
  <si>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</si>
  <si>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</si>
  <si>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</si>
  <si>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</si>
  <si>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</si>
  <si>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</si>
  <si>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</si>
  <si>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</si>
  <si>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</si>
  <si>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</si>
  <si>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</si>
  <si>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</si>
  <si>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</si>
  <si>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</si>
  <si>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</si>
  <si>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</si>
  <si>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</si>
  <si>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</si>
  <si>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</si>
  <si>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</si>
  <si>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</si>
  <si>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</si>
  <si>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</si>
  <si>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</si>
  <si>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</si>
  <si>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</si>
  <si>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</si>
  <si>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</si>
  <si>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</si>
  <si>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</si>
  <si>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</si>
  <si>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</si>
  <si>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</si>
  <si>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</si>
  <si>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</si>
  <si>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</si>
  <si>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</si>
  <si>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</si>
  <si>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</si>
  <si>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</si>
  <si>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</si>
  <si>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</si>
  <si>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</si>
  <si>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</si>
  <si>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</si>
  <si>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</si>
  <si>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</si>
  <si>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</si>
  <si>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</si>
  <si>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</si>
  <si>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</si>
  <si>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</si>
  <si>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</si>
  <si>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</si>
  <si>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</si>
  <si>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</si>
  <si>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</si>
  <si>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</si>
  <si>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</si>
  <si>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</si>
  <si>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</si>
  <si>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</si>
  <si>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</si>
  <si>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</si>
  <si>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</si>
  <si>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</si>
  <si>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</si>
  <si>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</si>
  <si>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</si>
  <si>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</si>
  <si>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</si>
  <si>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</si>
  <si>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</si>
  <si>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</si>
  <si>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</si>
  <si>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</si>
  <si>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</si>
  <si>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</si>
  <si>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</si>
  <si>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</si>
  <si>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</si>
  <si>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</si>
  <si>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</si>
  <si>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</si>
  <si>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</si>
  <si>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</si>
  <si>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</si>
  <si>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</si>
  <si>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</si>
  <si>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</si>
  <si>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</si>
  <si>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</si>
  <si>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</si>
  <si>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</si>
  <si>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</si>
  <si>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</si>
  <si>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</si>
  <si>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</si>
  <si>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</si>
  <si>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</si>
  <si>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</si>
  <si>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</si>
  <si>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</si>
  <si>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</si>
  <si>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</si>
  <si>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</si>
  <si>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</si>
  <si>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</si>
  <si>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</si>
  <si>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</si>
  <si>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</si>
  <si>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</si>
  <si>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</si>
  <si>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</si>
  <si>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</si>
  <si>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</si>
  <si>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</si>
  <si>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</si>
  <si>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</si>
  <si>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</si>
  <si>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</si>
  <si>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</si>
  <si>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</si>
  <si>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</si>
  <si>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</si>
  <si>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</si>
  <si>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</si>
  <si>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</si>
  <si>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</si>
  <si>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</si>
  <si>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</si>
  <si>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</si>
  <si>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</si>
  <si>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</si>
  <si>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</si>
  <si>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</si>
  <si>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</si>
  <si>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</si>
  <si>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</si>
  <si>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</si>
  <si>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</si>
  <si>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</si>
  <si>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</si>
  <si>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</si>
  <si>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</si>
  <si>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</si>
  <si>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</si>
  <si>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</si>
  <si>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</si>
  <si>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</si>
  <si>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</si>
  <si>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</si>
  <si>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</si>
  <si>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</si>
  <si>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</si>
  <si>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</si>
  <si>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</si>
  <si>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</si>
  <si>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</si>
  <si>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</si>
  <si>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</si>
  <si>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</si>
  <si>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</si>
  <si>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</si>
  <si>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</si>
  <si>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</si>
  <si>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</si>
  <si>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</si>
  <si>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</si>
  <si>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</si>
  <si>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</si>
  <si>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</si>
  <si>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</si>
  <si>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</si>
  <si>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</si>
  <si>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</si>
  <si>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</si>
  <si>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</si>
  <si>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</si>
  <si>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</si>
  <si>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</si>
  <si>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</si>
  <si>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</si>
  <si>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</si>
  <si>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</si>
  <si>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</si>
  <si>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</si>
  <si>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</si>
  <si>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</si>
  <si>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</si>
  <si>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</si>
  <si>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</si>
  <si>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</si>
  <si>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</si>
  <si>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</si>
  <si>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</si>
  <si>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</si>
  <si>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</si>
  <si>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</si>
  <si>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</si>
  <si>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</si>
  <si>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</si>
  <si>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</si>
  <si>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</si>
  <si>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</si>
  <si>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</si>
  <si>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</si>
  <si>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</si>
  <si>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</si>
  <si>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</si>
  <si>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</si>
  <si>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</si>
  <si>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</si>
  <si>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</si>
  <si>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</si>
  <si>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</si>
  <si>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</si>
  <si>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</si>
  <si>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</si>
  <si>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</si>
  <si>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</si>
  <si>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</si>
  <si>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</si>
  <si>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</si>
  <si>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</si>
  <si>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</si>
  <si>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</si>
  <si>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</si>
  <si>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</si>
  <si>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</si>
  <si>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</si>
  <si>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</si>
  <si>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</si>
  <si>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</si>
  <si>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</si>
  <si>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</si>
  <si>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</si>
  <si>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</si>
  <si>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</si>
  <si>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</si>
  <si>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</si>
  <si>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</si>
  <si>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</si>
  <si>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</si>
  <si>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</si>
  <si>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</si>
  <si>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</si>
  <si>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</si>
  <si>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</si>
  <si>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</si>
  <si>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</si>
  <si>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</si>
  <si>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</si>
  <si>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</si>
  <si>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</si>
  <si>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</si>
  <si>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</si>
  <si>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</si>
  <si>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</si>
  <si>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</si>
  <si>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</si>
  <si>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</si>
  <si>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</si>
  <si>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</si>
  <si>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</si>
  <si>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</si>
  <si>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</si>
  <si>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</si>
  <si>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</si>
  <si>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</si>
  <si>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</si>
  <si>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</si>
  <si>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</si>
  <si>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</si>
  <si>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</si>
  <si>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</si>
  <si>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</si>
  <si>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</si>
  <si>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</si>
  <si>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</si>
  <si>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</si>
  <si>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</si>
  <si>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</si>
  <si>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</si>
  <si>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</si>
  <si>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</si>
  <si>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</si>
  <si>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</si>
  <si>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</si>
  <si>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</si>
  <si>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</si>
  <si>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</si>
  <si>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</si>
  <si>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</si>
  <si>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</si>
  <si>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</si>
  <si>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</si>
  <si>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</si>
  <si>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</si>
  <si>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</si>
  <si>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</si>
  <si>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</si>
  <si>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</si>
  <si>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</si>
  <si>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</si>
  <si>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</si>
  <si>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</si>
  <si>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</si>
  <si>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</si>
  <si>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</si>
  <si>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</si>
  <si>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</si>
  <si>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</si>
  <si>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</si>
  <si>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</si>
  <si>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</si>
  <si>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</si>
  <si>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</si>
  <si>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</si>
  <si>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</si>
  <si>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</si>
  <si>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</si>
  <si>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</si>
  <si>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</si>
  <si>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</si>
  <si>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</si>
  <si>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</si>
  <si>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</si>
  <si>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</si>
  <si>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</si>
  <si>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</si>
  <si>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</si>
  <si>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</si>
  <si>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</si>
  <si>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</si>
  <si>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</si>
  <si>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</si>
  <si>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</si>
  <si>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</si>
  <si>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</si>
  <si>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</si>
  <si>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</si>
  <si>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</si>
  <si>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</si>
  <si>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</si>
  <si>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</si>
  <si>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</si>
  <si>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</si>
  <si>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</si>
  <si>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</si>
  <si>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</si>
  <si>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</si>
  <si>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</si>
  <si>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</si>
  <si>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</si>
  <si>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</si>
  <si>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</si>
  <si>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</si>
  <si>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</si>
  <si>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</si>
  <si>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</si>
  <si>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</si>
  <si>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</si>
  <si>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</si>
  <si>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</si>
  <si>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</si>
  <si>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</si>
  <si>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</si>
  <si>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</si>
  <si>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</si>
  <si>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</si>
  <si>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</si>
  <si>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</si>
  <si>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</si>
  <si>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</si>
  <si>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</si>
  <si>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</si>
  <si>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</si>
  <si>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</si>
  <si>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</si>
  <si>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</si>
  <si>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</si>
  <si>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</si>
  <si>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</si>
  <si>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</si>
  <si>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</si>
  <si>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</si>
  <si>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</si>
  <si>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</si>
  <si>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</si>
  <si>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</si>
  <si>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</si>
  <si>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</si>
  <si>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</si>
  <si>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</si>
  <si>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</si>
  <si>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</si>
  <si>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</si>
  <si>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</si>
  <si>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</si>
  <si>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</si>
  <si>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</si>
  <si>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</si>
  <si>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</si>
  <si>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</si>
  <si>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</si>
  <si>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</si>
  <si>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</si>
  <si>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</si>
  <si>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</si>
  <si>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</si>
  <si>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</si>
  <si>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</si>
  <si>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</si>
  <si>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</si>
  <si>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</si>
  <si>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</si>
  <si>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</si>
  <si>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</si>
  <si>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</si>
  <si>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</si>
  <si>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</si>
  <si>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</si>
  <si>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</si>
  <si>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</si>
  <si>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</si>
  <si>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</si>
  <si>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</si>
  <si>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</si>
  <si>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</si>
  <si>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</si>
  <si>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</si>
  <si>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</si>
  <si>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</si>
  <si>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</si>
  <si>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</si>
  <si>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</si>
  <si>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</si>
  <si>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</si>
  <si>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</si>
  <si>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</si>
  <si>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</si>
  <si>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</si>
  <si>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</si>
  <si>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</si>
  <si>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</si>
  <si>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</si>
  <si>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</si>
  <si>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</si>
  <si>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</si>
  <si>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</si>
  <si>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</si>
  <si>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</si>
  <si>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</si>
  <si>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</si>
  <si>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</si>
  <si>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</si>
  <si>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</si>
  <si>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</si>
  <si>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</si>
  <si>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</si>
  <si>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</si>
  <si>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</si>
  <si>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</si>
  <si>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</si>
  <si>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</si>
  <si>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</si>
  <si>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</si>
  <si>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</si>
  <si>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</si>
  <si>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</si>
  <si>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</si>
  <si>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</si>
  <si>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</si>
  <si>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</si>
  <si>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</si>
  <si>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</si>
  <si>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</si>
  <si>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</si>
  <si>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</si>
  <si>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</si>
  <si>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</si>
  <si>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</si>
  <si>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</si>
  <si>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</si>
  <si>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</si>
  <si>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</si>
  <si>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</si>
  <si>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</si>
  <si>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</si>
  <si>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</si>
  <si>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</si>
  <si>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</si>
  <si>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</si>
  <si>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</si>
  <si>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</si>
  <si>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</si>
  <si>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</si>
  <si>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</si>
  <si>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</si>
  <si>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</si>
  <si>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</si>
  <si>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</si>
  <si>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</si>
  <si>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</si>
  <si>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</si>
  <si>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</si>
  <si>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</si>
  <si>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</si>
  <si>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</si>
  <si>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</si>
  <si>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</si>
  <si>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</si>
  <si>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</si>
  <si>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</si>
  <si>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</si>
  <si>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</si>
  <si>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</si>
  <si>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</si>
  <si>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</si>
  <si>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</si>
  <si>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</si>
  <si>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</si>
  <si>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</si>
  <si>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</si>
  <si>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</si>
  <si>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</si>
  <si>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</si>
  <si>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</si>
  <si>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</si>
  <si>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</si>
  <si>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</si>
  <si>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</si>
  <si>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</si>
  <si>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</si>
  <si>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</si>
  <si>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</si>
  <si>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</si>
  <si>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</si>
  <si>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</si>
  <si>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</si>
  <si>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</si>
  <si>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</si>
  <si>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</si>
  <si>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</si>
  <si>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</si>
  <si>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</si>
  <si>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</si>
  <si>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</si>
  <si>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</si>
  <si>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</si>
  <si>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</si>
  <si>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</si>
  <si>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</si>
  <si>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</si>
  <si>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</si>
  <si>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</si>
  <si>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</si>
  <si>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</si>
  <si>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</si>
  <si>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</si>
  <si>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</si>
  <si>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</si>
  <si>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</si>
  <si>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</si>
  <si>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</si>
  <si>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</si>
  <si>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</si>
  <si>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</si>
  <si>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</si>
  <si>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</si>
  <si>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</si>
  <si>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</si>
  <si>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</si>
  <si>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</si>
  <si>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</si>
  <si>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</si>
  <si>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</si>
  <si>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</si>
  <si>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</si>
  <si>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</si>
  <si>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</si>
  <si>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</si>
  <si>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</si>
  <si>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</si>
  <si>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</si>
  <si>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</si>
  <si>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</si>
  <si>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</si>
  <si>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</si>
  <si>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</si>
  <si>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</si>
  <si>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</si>
  <si>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</si>
  <si>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</si>
  <si>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</si>
  <si>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</si>
  <si>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</si>
  <si>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</si>
  <si>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</si>
  <si>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</si>
  <si>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</si>
  <si>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</si>
  <si>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</si>
  <si>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</si>
  <si>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</si>
  <si>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</si>
  <si>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</si>
  <si>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</si>
  <si>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</si>
  <si>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</si>
  <si>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</si>
  <si>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</si>
  <si>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</si>
  <si>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</si>
  <si>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</si>
  <si>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</si>
  <si>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</si>
  <si>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</si>
  <si>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</si>
  <si>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</si>
  <si>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</si>
  <si>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</si>
  <si>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</si>
  <si>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</si>
  <si>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</si>
  <si>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</si>
  <si>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</si>
  <si>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</si>
  <si>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</si>
  <si>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</si>
  <si>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</si>
  <si>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</si>
  <si>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</si>
  <si>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</si>
  <si>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</si>
  <si>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</si>
  <si>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</si>
  <si>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</si>
  <si>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</si>
  <si>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</si>
  <si>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</si>
  <si>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</si>
  <si>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</si>
  <si>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</si>
  <si>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</si>
  <si>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</si>
  <si>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</si>
  <si>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</si>
  <si>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</si>
  <si>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</si>
  <si>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</si>
  <si>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</si>
  <si>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</si>
  <si>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</si>
  <si>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</si>
  <si>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</si>
  <si>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</si>
  <si>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</si>
  <si>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</si>
  <si>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</si>
  <si>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</si>
  <si>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</si>
  <si>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</si>
  <si>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</si>
  <si>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</si>
  <si>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</si>
  <si>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</si>
  <si>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</si>
  <si>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</si>
  <si>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</si>
  <si>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</si>
  <si>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</si>
  <si>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</si>
  <si>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</si>
  <si>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</si>
  <si>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</si>
  <si>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</si>
  <si>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</si>
  <si>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</si>
  <si>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</si>
  <si>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</si>
  <si>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</si>
  <si>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</si>
  <si>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</si>
  <si>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</si>
  <si>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</si>
  <si>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</si>
  <si>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</si>
  <si>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</si>
  <si>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</si>
  <si>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</si>
  <si>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</si>
  <si>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</si>
  <si>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</si>
  <si>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</si>
  <si>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</si>
  <si>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</si>
  <si>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</si>
  <si>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</si>
  <si>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</si>
  <si>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</si>
  <si>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</si>
  <si>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</si>
  <si>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</si>
  <si>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</si>
  <si>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</si>
  <si>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</si>
  <si>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</si>
  <si>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</si>
  <si>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</si>
  <si>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</si>
  <si>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</si>
  <si>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</si>
  <si>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</si>
  <si>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</si>
  <si>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</si>
  <si>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</si>
  <si>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</si>
  <si>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</si>
  <si>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</si>
  <si>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</si>
  <si>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</si>
  <si>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</si>
  <si>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</si>
  <si>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</si>
  <si>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</si>
  <si>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</si>
  <si>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</si>
  <si>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</si>
  <si>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</si>
  <si>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</si>
  <si>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</si>
  <si>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</si>
  <si>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</si>
  <si>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</si>
  <si>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</si>
  <si>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</si>
  <si>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</si>
  <si>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</si>
  <si>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</si>
  <si>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</si>
  <si>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</si>
  <si>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</si>
  <si>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</si>
  <si>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</si>
  <si>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</si>
  <si>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</si>
  <si>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</si>
  <si>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</si>
  <si>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</si>
  <si>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</si>
  <si>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</si>
  <si>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</si>
  <si>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</si>
  <si>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</si>
  <si>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</si>
  <si>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</si>
  <si>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</si>
  <si>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</si>
  <si>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</si>
  <si>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</si>
  <si>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</si>
  <si>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</si>
  <si>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</si>
  <si>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</si>
  <si>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</si>
  <si>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</si>
  <si>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</si>
  <si>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</si>
  <si>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</si>
  <si>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</si>
  <si>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</si>
  <si>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</si>
  <si>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</si>
  <si>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</si>
  <si>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</si>
  <si>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</si>
  <si>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</si>
  <si>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</si>
  <si>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</si>
  <si>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</si>
  <si>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</si>
  <si>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</si>
  <si>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</si>
  <si>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</si>
  <si>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</si>
  <si>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</si>
  <si>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</si>
  <si>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</si>
  <si>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</si>
  <si>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</si>
  <si>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</si>
  <si>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</si>
  <si>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</si>
  <si>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</si>
  <si>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</si>
  <si>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</si>
  <si>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</si>
  <si>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</si>
  <si>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</si>
  <si>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</si>
  <si>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</si>
  <si>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</si>
  <si>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</si>
  <si>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</si>
  <si>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</si>
  <si>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</si>
  <si>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</si>
  <si>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</si>
  <si>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</si>
  <si>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</si>
  <si>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</si>
  <si>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</si>
  <si>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</si>
  <si>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</si>
  <si>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</si>
  <si>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</si>
  <si>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</si>
  <si>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</si>
  <si>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</si>
  <si>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</si>
  <si>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</si>
  <si>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</si>
  <si>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</si>
  <si>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</si>
  <si>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</si>
  <si>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</si>
  <si>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</si>
  <si>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</si>
  <si>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</si>
  <si>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</si>
  <si>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</si>
  <si>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</si>
  <si>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</si>
  <si>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</si>
  <si>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</si>
  <si>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</si>
  <si>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</si>
  <si>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</si>
  <si>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</si>
  <si>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</si>
  <si>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</si>
  <si>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</si>
  <si>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</si>
  <si>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</si>
  <si>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</si>
  <si>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</si>
  <si>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</si>
  <si>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</si>
  <si>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</si>
  <si>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</si>
  <si>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</si>
  <si>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</si>
  <si>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</si>
  <si>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</si>
  <si>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</si>
  <si>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</si>
  <si>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</si>
  <si>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</si>
  <si>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</si>
  <si>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</si>
  <si>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</si>
  <si>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</si>
  <si>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</si>
  <si>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</si>
  <si>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</si>
  <si>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</si>
  <si>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</si>
  <si>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</si>
  <si>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</si>
  <si>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</si>
  <si>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</si>
  <si>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</si>
  <si>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</si>
  <si>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</si>
  <si>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</si>
  <si>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</si>
  <si>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</si>
  <si>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</si>
  <si>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</si>
  <si>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</si>
  <si>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</si>
  <si>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</si>
  <si>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</si>
  <si>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</si>
  <si>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</si>
  <si>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</si>
  <si>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</si>
  <si>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</si>
  <si>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</si>
  <si>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</si>
  <si>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</si>
  <si>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</si>
  <si>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</si>
  <si>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</si>
  <si>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</si>
  <si>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</si>
  <si>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</si>
  <si>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</si>
  <si>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</si>
  <si>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</si>
  <si>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</si>
  <si>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</si>
  <si>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</si>
  <si>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</si>
  <si>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</si>
  <si>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</si>
  <si>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</si>
  <si>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</si>
  <si>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</si>
  <si>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</si>
  <si>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</si>
  <si>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</si>
  <si>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</si>
  <si>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</si>
  <si>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</si>
  <si>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</si>
  <si>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</si>
  <si>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</si>
  <si>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</si>
  <si>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</si>
  <si>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</si>
  <si>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</si>
  <si>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</si>
  <si>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</si>
  <si>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</si>
  <si>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</si>
  <si>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</si>
  <si>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</si>
  <si>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</si>
  <si>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</si>
  <si>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</si>
  <si>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</si>
  <si>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</si>
  <si>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</si>
  <si>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</si>
  <si>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</si>
  <si>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</si>
  <si>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</si>
  <si>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</si>
  <si>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</si>
  <si>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</si>
  <si>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</si>
  <si>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</si>
  <si>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</si>
  <si>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</si>
  <si>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</si>
  <si>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</si>
  <si>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</si>
  <si>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</si>
  <si>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</si>
  <si>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</si>
  <si>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</si>
  <si>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</si>
  <si>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</si>
  <si>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</si>
  <si>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</si>
  <si>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</si>
  <si>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</si>
  <si>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</si>
  <si>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</si>
  <si>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</si>
  <si>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</si>
  <si>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</si>
  <si>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</si>
  <si>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</si>
  <si>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</si>
  <si>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</si>
  <si>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</si>
  <si>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</si>
  <si>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</si>
  <si>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</si>
  <si>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</si>
  <si>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</si>
  <si>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</si>
  <si>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</si>
  <si>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</si>
  <si>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</si>
  <si>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</si>
  <si>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</si>
  <si>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</si>
  <si>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</si>
  <si>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</si>
  <si>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</si>
  <si>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</si>
  <si>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</si>
  <si>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</si>
  <si>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</si>
  <si>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</si>
  <si>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</si>
  <si>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</si>
  <si>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</si>
  <si>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</si>
  <si>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</si>
  <si>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</si>
  <si>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</si>
  <si>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</si>
  <si>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</si>
  <si>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</si>
  <si>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</si>
  <si>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</si>
  <si>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</si>
  <si>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</si>
  <si>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</si>
  <si>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</si>
  <si>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</si>
  <si>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</si>
  <si>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</si>
  <si>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</si>
  <si>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</si>
  <si>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</si>
  <si>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</si>
  <si>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</si>
  <si>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</si>
  <si>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</si>
  <si>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</si>
  <si>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</si>
  <si>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</si>
  <si>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</si>
  <si>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</si>
  <si>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</si>
  <si>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</si>
  <si>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</si>
  <si>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</si>
  <si>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</si>
  <si>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</si>
  <si>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</si>
  <si>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</si>
  <si>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</si>
  <si>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</si>
  <si>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</si>
  <si>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</si>
  <si>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</si>
  <si>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</si>
  <si>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</si>
  <si>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</si>
  <si>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</si>
  <si>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</si>
  <si>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</si>
  <si>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</si>
  <si>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</si>
  <si>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</si>
  <si>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</si>
  <si>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</si>
  <si>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</si>
  <si>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</si>
  <si>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</si>
  <si>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</si>
  <si>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</si>
  <si>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</si>
  <si>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</si>
  <si>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</si>
  <si>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</si>
  <si>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</si>
  <si>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</si>
  <si>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</si>
  <si>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</si>
  <si>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</si>
  <si>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</si>
  <si>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</si>
  <si>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</si>
  <si>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</si>
  <si>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</si>
  <si>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</si>
  <si>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</si>
  <si>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</si>
  <si>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</si>
  <si>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</si>
  <si>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</si>
  <si>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</si>
  <si>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</si>
  <si>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</si>
  <si>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</si>
  <si>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</si>
  <si>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</si>
  <si>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</si>
  <si>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</si>
  <si>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</si>
  <si>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</si>
  <si>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</si>
  <si>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</si>
  <si>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</si>
  <si>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</si>
  <si>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</si>
  <si>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</si>
  <si>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</si>
  <si>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</si>
  <si>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</si>
  <si>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</si>
  <si>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</si>
  <si>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</si>
  <si>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</si>
  <si>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</si>
  <si>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</si>
  <si>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</si>
  <si>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</si>
  <si>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</si>
  <si>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</si>
  <si>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</si>
  <si>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</si>
  <si>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</si>
  <si>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</si>
  <si>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</si>
  <si>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</si>
  <si>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</si>
  <si>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</si>
  <si>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</si>
  <si>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</si>
  <si>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</si>
  <si>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</si>
  <si>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</si>
  <si>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</si>
  <si>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</si>
  <si>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</si>
  <si>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</si>
  <si>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</si>
  <si>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</si>
  <si>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</si>
  <si>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</si>
  <si>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</si>
  <si>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</si>
  <si>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</si>
  <si>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</si>
  <si>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</si>
  <si>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</si>
  <si>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</si>
  <si>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</si>
  <si>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</si>
  <si>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</si>
  <si>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</si>
  <si>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</si>
  <si>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</si>
  <si>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</si>
  <si>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</si>
  <si>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</si>
  <si>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</si>
  <si>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</si>
  <si>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</si>
  <si>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</si>
  <si>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</si>
  <si>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</si>
  <si>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</si>
  <si>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</si>
  <si>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</si>
  <si>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</si>
  <si>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</si>
  <si>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</si>
  <si>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</si>
  <si>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</si>
  <si>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</si>
  <si>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</si>
  <si>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</si>
  <si>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</si>
  <si>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</si>
  <si>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</si>
  <si>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</si>
  <si>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</si>
  <si>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</si>
  <si>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</si>
  <si>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</si>
  <si>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</si>
  <si>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</si>
  <si>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</si>
  <si>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</si>
  <si>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</si>
  <si>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</si>
  <si>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</si>
  <si>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</si>
  <si>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</si>
  <si>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</si>
  <si>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</si>
  <si>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</si>
  <si>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</si>
  <si>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</si>
  <si>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</si>
  <si>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</si>
  <si>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</si>
  <si>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</si>
  <si>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</si>
  <si>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</si>
  <si>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</si>
  <si>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</si>
  <si>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</si>
  <si>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</si>
  <si>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</si>
  <si>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</si>
  <si>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</si>
  <si>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</si>
  <si>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</si>
  <si>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</si>
  <si>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</si>
  <si>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</si>
  <si>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</si>
  <si>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</si>
  <si>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</si>
  <si>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</si>
  <si>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</si>
  <si>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</si>
  <si>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</si>
  <si>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</si>
  <si>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</si>
  <si>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</si>
  <si>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</si>
  <si>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</si>
  <si>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</si>
  <si>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</si>
  <si>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</si>
  <si>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</si>
  <si>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</si>
  <si>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</si>
  <si>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</si>
  <si>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</si>
  <si>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</si>
  <si>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</si>
  <si>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</si>
  <si>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</si>
  <si>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</si>
  <si>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</si>
  <si>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</si>
  <si>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</si>
  <si>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</si>
  <si>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</si>
  <si>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</si>
  <si>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</si>
  <si>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</si>
  <si>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</si>
  <si>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</si>
  <si>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</si>
  <si>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</si>
  <si>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</si>
  <si>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</si>
  <si>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</si>
  <si>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</si>
  <si>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</si>
  <si>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</si>
  <si>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</si>
  <si>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</si>
  <si>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</si>
  <si>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</si>
  <si>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</si>
  <si>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</si>
  <si>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</si>
  <si>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</si>
  <si>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</si>
  <si>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</si>
  <si>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</si>
  <si>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</si>
  <si>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</si>
  <si>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</si>
  <si>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</si>
  <si>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</si>
  <si>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</si>
  <si>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</si>
  <si>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</si>
  <si>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</si>
  <si>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</si>
  <si>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</si>
  <si>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</si>
  <si>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</si>
  <si>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</si>
  <si>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</si>
  <si>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</si>
  <si>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</si>
  <si>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</si>
  <si>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</si>
  <si>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</si>
  <si>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</si>
  <si>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</si>
  <si>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</si>
  <si>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</si>
  <si>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</si>
  <si>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</si>
  <si>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</si>
  <si>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</si>
  <si>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</si>
  <si>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</si>
  <si>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</si>
  <si>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</si>
  <si>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</si>
  <si>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</si>
  <si>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</si>
  <si>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</si>
  <si>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</si>
  <si>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</si>
  <si>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</si>
  <si>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</si>
  <si>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</si>
  <si>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</si>
  <si>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</si>
  <si>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</si>
  <si>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</si>
  <si>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</si>
  <si>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</si>
  <si>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</si>
  <si>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</si>
  <si>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</si>
  <si>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</si>
  <si>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</si>
  <si>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</si>
  <si>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</si>
  <si>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</si>
  <si>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</si>
  <si>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</si>
  <si>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</si>
  <si>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</si>
  <si>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</si>
  <si>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</si>
  <si>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</si>
  <si>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</si>
  <si>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</si>
  <si>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</si>
  <si>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</si>
  <si>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</si>
  <si>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</si>
  <si>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</si>
  <si>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</si>
  <si>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</si>
  <si>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</si>
  <si>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</si>
  <si>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</si>
  <si>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</si>
  <si>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</si>
  <si>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</si>
  <si>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</si>
  <si>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</si>
  <si>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</si>
  <si>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</si>
  <si>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</si>
  <si>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</si>
  <si>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</si>
  <si>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</si>
  <si>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</si>
  <si>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</si>
  <si>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</si>
  <si>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</si>
  <si>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</si>
  <si>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</si>
  <si>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</si>
  <si>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</si>
  <si>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</si>
  <si>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</si>
  <si>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</si>
  <si>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</si>
  <si>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</si>
  <si>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</si>
  <si>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</si>
  <si>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</si>
  <si>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</si>
  <si>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</si>
  <si>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</si>
  <si>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</si>
  <si>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</si>
  <si>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</si>
  <si>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</si>
  <si>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</si>
  <si>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</si>
  <si>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</si>
  <si>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</si>
  <si>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</si>
  <si>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</si>
  <si>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</si>
  <si>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</si>
  <si>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</si>
  <si>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</si>
  <si>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</si>
  <si>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</si>
  <si>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</si>
  <si>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</si>
  <si>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</si>
  <si>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</si>
  <si>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</si>
  <si>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</si>
  <si>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</si>
  <si>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</si>
  <si>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</si>
  <si>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</si>
  <si>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</si>
  <si>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</si>
  <si>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</si>
  <si>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</si>
  <si>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</si>
  <si>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</si>
  <si>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</si>
  <si>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</si>
  <si>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</si>
  <si>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</si>
  <si>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</si>
  <si>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</si>
  <si>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</si>
  <si>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</si>
  <si>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</si>
  <si>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</si>
  <si>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</si>
  <si>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</si>
  <si>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</si>
  <si>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</si>
  <si>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</si>
  <si>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</si>
  <si>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</si>
  <si>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</si>
  <si>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</si>
  <si>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</si>
  <si>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</si>
  <si>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</si>
  <si>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</si>
  <si>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</si>
  <si>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</si>
  <si>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</si>
  <si>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</si>
  <si>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</si>
  <si>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</si>
  <si>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</si>
  <si>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</si>
  <si>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</si>
  <si>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</si>
  <si>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</si>
  <si>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</si>
  <si>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</si>
  <si>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</si>
  <si>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</si>
  <si>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</si>
  <si>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</si>
  <si>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</si>
  <si>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</si>
  <si>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</si>
  <si>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</si>
  <si>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</si>
  <si>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</si>
  <si>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</si>
  <si>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</si>
  <si>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</si>
  <si>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</si>
  <si>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</si>
  <si>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</si>
  <si>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</si>
  <si>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</si>
  <si>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</si>
  <si>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</si>
  <si>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</si>
  <si>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</si>
  <si>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</si>
  <si>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</si>
  <si>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</si>
  <si>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</si>
  <si>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</si>
  <si>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</si>
  <si>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</si>
  <si>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</si>
  <si>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</si>
  <si>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</si>
  <si>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</si>
  <si>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</si>
  <si>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</si>
  <si>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</si>
  <si>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</si>
  <si>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</si>
  <si>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</si>
  <si>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</si>
  <si>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</si>
  <si>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</si>
  <si>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</si>
  <si>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</si>
  <si>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</si>
  <si>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</si>
  <si>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</si>
  <si>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</si>
  <si>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</si>
  <si>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</si>
  <si>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</si>
  <si>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</si>
  <si>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</si>
  <si>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</si>
  <si>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</si>
  <si>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</si>
  <si>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</si>
  <si>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</si>
  <si>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</si>
  <si>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</si>
  <si>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</si>
  <si>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</si>
  <si>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</si>
  <si>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</si>
  <si>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</si>
  <si>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</si>
  <si>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</si>
  <si>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</si>
  <si>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</si>
  <si>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</si>
  <si>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</si>
  <si>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</si>
  <si>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</si>
  <si>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</si>
  <si>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</si>
  <si>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</si>
  <si>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</si>
  <si>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</si>
  <si>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</si>
  <si>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</si>
  <si>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</si>
  <si>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</si>
  <si>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</si>
  <si>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</si>
  <si>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</si>
  <si>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</si>
  <si>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</si>
  <si>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</si>
  <si>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</si>
  <si>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</si>
  <si>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</si>
  <si>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</si>
  <si>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</si>
  <si>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</si>
  <si>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</si>
  <si>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</si>
  <si>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</si>
  <si>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</si>
  <si>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</si>
  <si>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</si>
  <si>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</si>
  <si>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</si>
  <si>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</si>
  <si>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</si>
  <si>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</si>
  <si>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</si>
  <si>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</si>
  <si>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</si>
  <si>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</si>
  <si>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</si>
  <si>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</si>
  <si>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</si>
  <si>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</si>
  <si>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</si>
  <si>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</si>
  <si>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</si>
  <si>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</si>
  <si>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</si>
  <si>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</si>
  <si>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</si>
  <si>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</si>
  <si>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</si>
  <si>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</si>
  <si>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</si>
  <si>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</si>
  <si>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</si>
  <si>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</si>
  <si>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</si>
  <si>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</si>
  <si>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</si>
  <si>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</si>
  <si>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</si>
  <si>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</si>
  <si>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</si>
  <si>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</si>
  <si>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</si>
  <si>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</si>
  <si>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</si>
  <si>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</si>
  <si>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</si>
  <si>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</si>
  <si>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</si>
  <si>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</si>
  <si>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</si>
  <si>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</si>
  <si>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</si>
  <si>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</si>
  <si>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</si>
  <si>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</si>
  <si>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</si>
  <si>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</si>
  <si>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</si>
  <si>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</si>
  <si>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</si>
  <si>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</si>
  <si>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</si>
  <si>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</si>
  <si>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</si>
  <si>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</si>
  <si>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</si>
  <si>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</si>
  <si>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</si>
  <si>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</si>
  <si>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</si>
  <si>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</si>
  <si>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</si>
  <si>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</si>
  <si>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</si>
  <si>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</si>
  <si>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</si>
  <si>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</si>
  <si>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</si>
  <si>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</si>
  <si>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</si>
  <si>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</si>
  <si>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</si>
  <si>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</si>
  <si>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</si>
  <si>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</si>
  <si>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</si>
  <si>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</si>
  <si>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</si>
  <si>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</si>
  <si>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</si>
  <si>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</si>
  <si>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</si>
  <si>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</si>
  <si>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</si>
  <si>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</si>
  <si>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</si>
  <si>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</si>
  <si>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</si>
  <si>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</si>
  <si>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</si>
  <si>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</si>
  <si>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</si>
  <si>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</si>
  <si>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</si>
  <si>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</si>
  <si>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</si>
  <si>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</si>
  <si>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</si>
  <si>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</si>
  <si>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</si>
  <si>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</si>
  <si>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</si>
  <si>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</si>
  <si>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</si>
  <si>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</si>
  <si>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</si>
  <si>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</si>
  <si>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</si>
  <si>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</si>
  <si>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</si>
  <si>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</si>
  <si>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</si>
  <si>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</si>
  <si>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</si>
  <si>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</si>
  <si>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</si>
  <si>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</si>
  <si>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</si>
  <si>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</si>
  <si>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</si>
  <si>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</si>
  <si>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</si>
  <si>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</si>
  <si>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</si>
  <si>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</si>
  <si>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</si>
  <si>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</si>
  <si>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</si>
  <si>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</si>
  <si>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</si>
  <si>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</si>
  <si>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</si>
  <si>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</si>
  <si>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</si>
  <si>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</si>
  <si>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</si>
  <si>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</si>
  <si>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</si>
  <si>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</si>
  <si>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</si>
  <si>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</si>
  <si>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</si>
  <si>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</si>
  <si>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</si>
  <si>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</si>
  <si>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</si>
  <si>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</si>
  <si>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</si>
  <si>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</si>
  <si>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</si>
  <si>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</si>
  <si>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</si>
  <si>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</si>
  <si>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</si>
  <si>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</si>
  <si>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</si>
  <si>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</si>
  <si>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</si>
  <si>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</si>
  <si>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</si>
  <si>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</si>
  <si>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</si>
  <si>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</si>
  <si>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</si>
  <si>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</si>
  <si>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</si>
  <si>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</si>
  <si>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</si>
  <si>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</si>
  <si>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</si>
  <si>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</si>
  <si>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</si>
  <si>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</si>
  <si>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</si>
  <si>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</si>
  <si>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</si>
  <si>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</si>
  <si>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</si>
  <si>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</si>
  <si>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</si>
  <si>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</si>
  <si>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</si>
  <si>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</si>
  <si>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</si>
  <si>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</si>
  <si>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</si>
  <si>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</si>
  <si>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</si>
  <si>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</si>
  <si>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</si>
  <si>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</si>
  <si>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</si>
  <si>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</si>
  <si>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</si>
  <si>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</si>
  <si>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</si>
  <si>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</si>
  <si>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</si>
  <si>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</si>
  <si>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</si>
  <si>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</si>
  <si>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</si>
  <si>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</si>
  <si>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</si>
  <si>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</si>
  <si>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</si>
  <si>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</si>
  <si>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</si>
  <si>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</si>
  <si>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</si>
  <si>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</si>
  <si>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</si>
  <si>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</si>
  <si>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</si>
  <si>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</si>
  <si>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</si>
  <si>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</si>
  <si>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</si>
  <si>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</si>
  <si>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</si>
  <si>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</si>
  <si>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</si>
  <si>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</si>
  <si>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</si>
  <si>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</si>
  <si>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</si>
  <si>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</si>
  <si>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</si>
  <si>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</si>
  <si>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</si>
  <si>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</si>
  <si>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</si>
  <si>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</si>
  <si>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</si>
  <si>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</si>
  <si>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</si>
  <si>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</si>
  <si>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</si>
  <si>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</si>
  <si>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</si>
  <si>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</si>
  <si>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</si>
  <si>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</si>
  <si>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</si>
  <si>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</si>
  <si>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</si>
  <si>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</si>
  <si>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</si>
  <si>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</si>
  <si>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</si>
  <si>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</si>
  <si>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</si>
  <si>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</si>
  <si>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</si>
  <si>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</si>
  <si>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</si>
  <si>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</si>
  <si>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</si>
  <si>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</si>
  <si>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</si>
  <si>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</si>
  <si>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</si>
  <si>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</si>
  <si>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</si>
  <si>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</si>
  <si>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</si>
  <si>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</si>
  <si>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</si>
  <si>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</si>
  <si>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</si>
  <si>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</si>
  <si>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</si>
  <si>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</si>
  <si>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</si>
  <si>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</si>
  <si>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</si>
  <si>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</si>
  <si>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</si>
  <si>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</si>
  <si>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</si>
  <si>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</si>
  <si>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</si>
  <si>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</si>
  <si>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</si>
  <si>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</si>
  <si>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</si>
  <si>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</si>
  <si>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</si>
  <si>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</si>
  <si>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</si>
  <si>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</si>
  <si>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</si>
  <si>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</si>
  <si>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</si>
  <si>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</si>
  <si>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</si>
  <si>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</si>
  <si>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</si>
  <si>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</si>
  <si>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</si>
  <si>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</si>
  <si>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</si>
  <si>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</si>
  <si>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</si>
  <si>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</si>
  <si>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</si>
  <si>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</si>
  <si>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</si>
  <si>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</si>
  <si>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</si>
  <si>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</si>
  <si>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</si>
  <si>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</si>
  <si>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</si>
  <si>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</si>
  <si>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</si>
  <si>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</si>
  <si>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</si>
  <si>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</si>
  <si>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</si>
  <si>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</si>
  <si>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</si>
  <si>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</si>
  <si>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</si>
  <si>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</si>
  <si>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</si>
  <si>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</si>
  <si>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</si>
  <si>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</si>
  <si>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</si>
  <si>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</si>
  <si>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</si>
  <si>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</si>
  <si>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</si>
  <si>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</si>
  <si>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</si>
  <si>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</si>
  <si>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</si>
  <si>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</si>
  <si>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</si>
  <si>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</si>
  <si>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</si>
  <si>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</si>
  <si>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</si>
  <si>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</si>
  <si>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</si>
  <si>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</si>
  <si>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</si>
  <si>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</si>
  <si>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</si>
  <si>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</si>
  <si>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</si>
  <si>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</si>
  <si>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</si>
  <si>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</si>
  <si>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</si>
  <si>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</si>
  <si>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</si>
  <si>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</si>
  <si>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</si>
  <si>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</si>
  <si>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</si>
  <si>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</si>
  <si>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</si>
  <si>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</si>
  <si>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</si>
  <si>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</si>
  <si>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</si>
  <si>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</si>
  <si>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</si>
  <si>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</si>
  <si>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</si>
  <si>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</si>
  <si>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</si>
  <si>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</si>
  <si>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</si>
  <si>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</si>
  <si>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</si>
  <si>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</si>
  <si>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</si>
  <si>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</si>
  <si>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</si>
  <si>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</si>
  <si>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</si>
  <si>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</si>
  <si>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</si>
  <si>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</si>
  <si>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</si>
  <si>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</si>
  <si>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</si>
  <si>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</si>
  <si>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</si>
  <si>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</si>
  <si>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</si>
  <si>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</si>
  <si>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</si>
  <si>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</si>
  <si>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</si>
  <si>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</si>
  <si>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</si>
  <si>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</si>
  <si>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</si>
  <si>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</si>
  <si>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</si>
  <si>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</si>
  <si>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</si>
  <si>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</si>
  <si>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</si>
  <si>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</si>
  <si>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</si>
  <si>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</si>
  <si>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</si>
  <si>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</si>
  <si>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</si>
  <si>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</si>
  <si>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</si>
  <si>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</si>
  <si>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</si>
  <si>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</si>
  <si>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</si>
  <si>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</si>
  <si>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</si>
  <si>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</si>
  <si>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</si>
  <si>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</si>
  <si>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</si>
  <si>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</si>
  <si>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</si>
  <si>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</si>
  <si>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</si>
  <si>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</si>
  <si>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</si>
  <si>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</si>
  <si>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</si>
  <si>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</si>
  <si>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</si>
  <si>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</si>
  <si>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</si>
  <si>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</si>
  <si>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</si>
  <si>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</si>
  <si>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</si>
  <si>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</si>
  <si>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</si>
  <si>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</si>
  <si>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</si>
  <si>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</si>
  <si>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</si>
  <si>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</si>
  <si>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</si>
  <si>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</si>
  <si>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</si>
  <si>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</si>
  <si>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</si>
  <si>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</si>
  <si>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</si>
  <si>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</si>
  <si>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</si>
  <si>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</si>
  <si>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</si>
  <si>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</si>
  <si>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</si>
  <si>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</si>
  <si>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</si>
  <si>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</si>
  <si>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</si>
  <si>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</si>
  <si>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</si>
  <si>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</si>
  <si>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</si>
  <si>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</si>
  <si>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</si>
  <si>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</si>
  <si>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</si>
  <si>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</si>
  <si>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</si>
  <si>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</si>
  <si>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</si>
  <si>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</si>
  <si>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</si>
  <si>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</si>
  <si>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</si>
  <si>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</si>
  <si>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</si>
  <si>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</si>
  <si>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</si>
  <si>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</si>
  <si>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</si>
  <si>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</si>
  <si>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</si>
  <si>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</si>
  <si>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</si>
  <si>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</si>
  <si>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</si>
  <si>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</si>
  <si>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</si>
  <si>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</si>
  <si>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</si>
  <si>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</si>
  <si>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</si>
  <si>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</si>
  <si>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</si>
  <si>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</si>
  <si>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</si>
  <si>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</si>
  <si>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</si>
  <si>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</si>
  <si>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</si>
  <si>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</si>
  <si>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</si>
  <si>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</si>
  <si>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</si>
  <si>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</si>
  <si>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</si>
  <si>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</si>
  <si>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</si>
  <si>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</si>
  <si>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</si>
  <si>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</si>
  <si>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</si>
  <si>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</si>
  <si>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</si>
  <si>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</si>
  <si>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</si>
  <si>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</si>
  <si>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</si>
  <si>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</si>
  <si>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</si>
  <si>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</si>
  <si>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</si>
  <si>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</si>
  <si>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</si>
  <si>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</si>
  <si>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</si>
  <si>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</si>
  <si>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</si>
  <si>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</si>
  <si>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</si>
  <si>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</si>
  <si>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</si>
  <si>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</si>
  <si>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</si>
  <si>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</si>
  <si>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</si>
  <si>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</si>
  <si>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</si>
  <si>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</si>
  <si>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</si>
  <si>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</si>
  <si>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</si>
  <si>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</si>
  <si>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</si>
  <si>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</si>
  <si>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</si>
  <si>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</si>
  <si>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</si>
  <si>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</si>
  <si>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</si>
  <si>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</si>
  <si>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</si>
  <si>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</si>
  <si>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</si>
  <si>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</si>
  <si>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</si>
  <si>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</si>
  <si>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</si>
  <si>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</si>
  <si>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</si>
  <si>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</si>
  <si>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</si>
  <si>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</si>
  <si>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</si>
  <si>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</si>
  <si>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</si>
  <si>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</si>
  <si>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</si>
  <si>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</si>
  <si>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</si>
  <si>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</si>
  <si>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</si>
  <si>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</si>
  <si>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</si>
  <si>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</si>
  <si>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</si>
  <si>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</si>
  <si>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</si>
  <si>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</si>
  <si>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</si>
  <si>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</si>
  <si>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</si>
  <si>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</si>
  <si>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</si>
  <si>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</si>
  <si>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</si>
  <si>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</si>
  <si>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</si>
  <si>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</si>
  <si>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</si>
  <si>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</si>
  <si>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</si>
  <si>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</si>
  <si>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</si>
  <si>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</si>
  <si>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</si>
  <si>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</si>
  <si>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</si>
  <si>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</si>
  <si>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</si>
  <si>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</si>
  <si>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</si>
  <si>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</si>
  <si>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</si>
  <si>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</si>
  <si>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</si>
  <si>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</si>
  <si>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</si>
  <si>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</si>
  <si>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</si>
  <si>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</si>
  <si>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</si>
  <si>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</si>
  <si>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</si>
  <si>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</si>
  <si>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</si>
  <si>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</si>
  <si>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</si>
  <si>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</si>
  <si>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</si>
  <si>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</si>
  <si>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</si>
  <si>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</si>
  <si>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</si>
  <si>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</si>
  <si>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</si>
  <si>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</si>
  <si>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</si>
  <si>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</si>
  <si>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</si>
  <si>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</si>
  <si>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</si>
  <si>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</si>
  <si>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</si>
  <si>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</si>
  <si>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</si>
  <si>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</si>
  <si>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</si>
  <si>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</si>
  <si>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</si>
  <si>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</si>
  <si>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</si>
  <si>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</si>
  <si>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</si>
  <si>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</si>
  <si>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</si>
  <si>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</si>
  <si>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</si>
  <si>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</si>
  <si>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</si>
  <si>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</si>
  <si>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</si>
  <si>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</si>
  <si>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</si>
  <si>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</si>
  <si>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</si>
  <si>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</si>
  <si>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</si>
  <si>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</si>
  <si>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</si>
  <si>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</si>
  <si>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</si>
  <si>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</si>
  <si>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</si>
  <si>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</si>
  <si>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</si>
  <si>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</si>
  <si>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</si>
  <si>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</si>
  <si>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</si>
  <si>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</si>
  <si>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</si>
  <si>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</si>
  <si>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</si>
  <si>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</si>
  <si>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</si>
  <si>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</si>
  <si>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</si>
  <si>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</si>
  <si>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</si>
  <si>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</si>
  <si>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</si>
  <si>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</si>
  <si>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</si>
  <si>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</si>
  <si>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</si>
  <si>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</si>
  <si>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</si>
  <si>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</si>
  <si>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</si>
  <si>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</si>
  <si>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</si>
  <si>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</si>
  <si>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</si>
  <si>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</si>
  <si>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</si>
  <si>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</si>
  <si>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</si>
  <si>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</si>
  <si>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</si>
  <si>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</si>
  <si>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</si>
  <si>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</si>
  <si>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</si>
  <si>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</si>
  <si>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</si>
  <si>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</si>
  <si>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</si>
  <si>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</si>
  <si>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</si>
  <si>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</si>
  <si>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</si>
  <si>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</si>
  <si>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</si>
  <si>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</si>
  <si>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</si>
  <si>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</si>
  <si>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</si>
  <si>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</si>
  <si>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</si>
  <si>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</si>
  <si>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</si>
  <si>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</si>
  <si>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</si>
  <si>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</si>
  <si>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</si>
  <si>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</si>
  <si>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</si>
  <si>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</si>
  <si>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</si>
  <si>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</si>
  <si>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</si>
  <si>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</si>
  <si>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</si>
  <si>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</si>
  <si>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</si>
  <si>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</si>
  <si>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</si>
  <si>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</si>
  <si>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</si>
  <si>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</si>
  <si>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</si>
  <si>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</si>
  <si>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</si>
  <si>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</si>
  <si>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</si>
  <si>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</si>
  <si>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</si>
  <si>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</si>
  <si>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</si>
  <si>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</si>
  <si>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</si>
  <si>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</si>
  <si>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</si>
  <si>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</si>
  <si>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</si>
  <si>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</si>
  <si>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</si>
  <si>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</si>
  <si>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</si>
  <si>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</si>
  <si>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</si>
  <si>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</si>
  <si>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</si>
  <si>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</si>
  <si>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</si>
  <si>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</si>
  <si>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</si>
  <si>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</si>
  <si>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</si>
  <si>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</si>
  <si>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</si>
  <si>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</si>
  <si>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</si>
  <si>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</si>
  <si>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</si>
  <si>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</si>
  <si>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</si>
  <si>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</si>
  <si>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</si>
  <si>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</si>
  <si>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</si>
  <si>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</si>
  <si>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</si>
  <si>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</si>
  <si>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</si>
  <si>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</si>
  <si>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</si>
  <si>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</si>
  <si>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</si>
  <si>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</si>
  <si>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</si>
  <si>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</si>
  <si>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</si>
  <si>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</si>
  <si>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</si>
  <si>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</si>
  <si>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</si>
  <si>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</si>
  <si>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</si>
  <si>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</si>
  <si>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</si>
  <si>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</si>
  <si>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</si>
  <si>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</si>
  <si>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</si>
  <si>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</si>
  <si>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</si>
  <si>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</si>
  <si>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</si>
  <si>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</si>
  <si>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</si>
  <si>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</si>
  <si>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</si>
  <si>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</si>
  <si>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</si>
  <si>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</si>
  <si>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</si>
  <si>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</si>
  <si>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</si>
  <si>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</si>
  <si>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</si>
  <si>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</si>
  <si>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</si>
  <si>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</si>
  <si>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</si>
  <si>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</si>
  <si>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</si>
  <si>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</si>
  <si>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</si>
  <si>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</si>
  <si>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</si>
  <si>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</si>
  <si>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</si>
  <si>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</si>
  <si>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</si>
  <si>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</si>
  <si>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</si>
  <si>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</si>
  <si>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</si>
  <si>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</si>
  <si>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</si>
  <si>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</si>
  <si>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</si>
  <si>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</si>
  <si>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</si>
  <si>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</si>
  <si>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</si>
  <si>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</si>
  <si>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</si>
  <si>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</si>
  <si>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</si>
  <si>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</si>
  <si>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</si>
  <si>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</si>
  <si>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</si>
  <si>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</si>
  <si>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</si>
  <si>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</si>
  <si>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</si>
  <si>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</si>
  <si>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</si>
  <si>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</si>
  <si>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</si>
  <si>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</si>
  <si>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</si>
  <si>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</si>
  <si>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</si>
  <si>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</si>
  <si>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</si>
  <si>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</si>
  <si>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</si>
  <si>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</si>
  <si>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</si>
  <si>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</si>
  <si>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</si>
  <si>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</si>
  <si>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</si>
  <si>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</si>
  <si>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</si>
  <si>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</si>
  <si>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</si>
  <si>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</si>
  <si>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</si>
  <si>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</si>
  <si>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</si>
  <si>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</si>
  <si>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</si>
  <si>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</si>
  <si>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</si>
  <si>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</si>
  <si>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</si>
  <si>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</si>
  <si>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</si>
  <si>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</si>
  <si>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</si>
  <si>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</si>
  <si>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</si>
  <si>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</si>
  <si>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</si>
  <si>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</si>
  <si>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</si>
  <si>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</si>
  <si>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</si>
  <si>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</si>
  <si>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</si>
  <si>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</si>
  <si>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</si>
  <si>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</si>
  <si>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</si>
  <si>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</si>
  <si>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</si>
  <si>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</si>
  <si>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</si>
  <si>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</si>
  <si>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</si>
  <si>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</si>
  <si>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</si>
  <si>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</si>
  <si>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</si>
  <si>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</si>
  <si>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</si>
  <si>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</si>
  <si>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</si>
  <si>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</si>
  <si>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</si>
  <si>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</si>
  <si>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</si>
  <si>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</si>
  <si>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</si>
  <si>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</si>
  <si>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</si>
  <si>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</si>
  <si>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</si>
  <si>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</si>
  <si>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</si>
  <si>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</si>
  <si>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</si>
  <si>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</si>
  <si>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</si>
  <si>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</si>
  <si>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</si>
  <si>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</si>
  <si>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</si>
  <si>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</si>
  <si>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</si>
  <si>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</si>
  <si>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</si>
  <si>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</si>
  <si>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</si>
  <si>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</si>
  <si>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</si>
  <si>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</si>
  <si>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</si>
  <si>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</si>
  <si>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</si>
  <si>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</si>
  <si>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</si>
  <si>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</si>
  <si>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</si>
  <si>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</si>
  <si>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</si>
  <si>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</si>
  <si>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</si>
  <si>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</si>
  <si>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</si>
  <si>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</si>
  <si>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</si>
  <si>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</si>
  <si>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</si>
  <si>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</si>
  <si>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</si>
  <si>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</si>
  <si>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</si>
  <si>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</si>
  <si>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</si>
  <si>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</si>
  <si>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</si>
  <si>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</si>
  <si>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</si>
  <si>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</si>
  <si>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</si>
  <si>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</si>
  <si>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</si>
  <si>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</si>
  <si>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</si>
  <si>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</si>
  <si>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</si>
  <si>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</si>
  <si>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</si>
  <si>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</si>
  <si>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</si>
  <si>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</si>
  <si>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</si>
  <si>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</si>
  <si>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</si>
  <si>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</si>
  <si>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</si>
  <si>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</si>
  <si>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</si>
  <si>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</si>
  <si>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</si>
  <si>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</si>
  <si>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</si>
  <si>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</si>
  <si>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</si>
  <si>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</si>
  <si>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</si>
  <si>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</si>
  <si>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</si>
  <si>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</si>
  <si>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</si>
  <si>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</si>
  <si>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</si>
  <si>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</si>
  <si>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</si>
  <si>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</si>
  <si>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</si>
  <si>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</si>
  <si>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</si>
  <si>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</si>
  <si>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</si>
  <si>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</si>
  <si>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</si>
  <si>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</si>
  <si>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</si>
  <si>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</si>
  <si>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</si>
  <si>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</si>
  <si>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</si>
  <si>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</si>
  <si>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</si>
  <si>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</si>
  <si>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</si>
  <si>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</si>
  <si>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</si>
  <si>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</si>
  <si>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</si>
  <si>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</si>
  <si>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</si>
  <si>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</si>
  <si>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</si>
  <si>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</si>
  <si>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</si>
  <si>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</si>
  <si>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</si>
  <si>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</si>
  <si>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</si>
  <si>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</si>
  <si>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</si>
  <si>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</si>
  <si>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</si>
  <si>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</si>
  <si>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</si>
  <si>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</si>
  <si>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</si>
  <si>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</si>
  <si>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</si>
  <si>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</si>
  <si>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</si>
  <si>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</si>
  <si>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</si>
  <si>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</si>
  <si>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</si>
  <si>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</si>
  <si>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</si>
  <si>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</si>
  <si>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</si>
  <si>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</si>
  <si>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</si>
  <si>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</si>
  <si>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</si>
  <si>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</si>
  <si>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</si>
  <si>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</si>
  <si>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</si>
  <si>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</si>
  <si>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</si>
  <si>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</si>
  <si>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</si>
  <si>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</si>
  <si>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</si>
  <si>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</si>
  <si>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</si>
  <si>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</si>
  <si>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</si>
  <si>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</si>
  <si>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</si>
  <si>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</si>
  <si>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</si>
  <si>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</si>
  <si>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</si>
  <si>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</si>
  <si>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</si>
  <si>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</si>
  <si>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</si>
  <si>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</si>
  <si>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</si>
  <si>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</si>
  <si>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</si>
  <si>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</si>
  <si>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</si>
  <si>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</si>
  <si>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</si>
  <si>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</si>
  <si>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</si>
  <si>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</si>
  <si>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</si>
  <si>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</si>
  <si>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</si>
  <si>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</si>
  <si>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</si>
  <si>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</si>
  <si>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</si>
  <si>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</si>
  <si>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</si>
  <si>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</si>
  <si>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</si>
  <si>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</si>
  <si>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</si>
  <si>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</si>
  <si>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</si>
  <si>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</si>
  <si>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</si>
  <si>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</si>
  <si>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</si>
  <si>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</si>
  <si>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</si>
  <si>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</si>
  <si>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</si>
  <si>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</si>
  <si>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</si>
  <si>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</si>
  <si>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</si>
  <si>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</si>
  <si>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</si>
  <si>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</si>
  <si>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</si>
  <si>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</si>
  <si>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</si>
  <si>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</si>
  <si>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</si>
  <si>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</si>
  <si>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</si>
  <si>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</si>
  <si>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</si>
  <si>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</si>
  <si>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</si>
  <si>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</si>
  <si>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</si>
  <si>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</si>
  <si>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</si>
  <si>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</si>
  <si>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</si>
  <si>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</si>
  <si>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</si>
  <si>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</si>
  <si>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</si>
  <si>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</si>
  <si>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</si>
  <si>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</si>
  <si>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</si>
  <si>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</si>
  <si>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</si>
  <si>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</si>
  <si>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</si>
  <si>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</si>
  <si>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</si>
  <si>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</si>
  <si>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</si>
  <si>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</si>
  <si>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</si>
  <si>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</si>
  <si>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</si>
  <si>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</si>
  <si>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</si>
  <si>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</si>
  <si>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</si>
  <si>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</si>
  <si>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</si>
  <si>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</si>
  <si>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</si>
  <si>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</si>
  <si>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</si>
  <si>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</si>
  <si>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</si>
  <si>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</si>
  <si>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</si>
  <si>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</si>
  <si>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</si>
  <si>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</si>
  <si>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</si>
  <si>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</si>
  <si>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</si>
  <si>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</si>
  <si>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</si>
  <si>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</si>
  <si>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</si>
  <si>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</si>
  <si>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</si>
  <si>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</si>
  <si>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</si>
  <si>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</si>
  <si>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</si>
  <si>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</si>
  <si>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</si>
  <si>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</si>
  <si>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</si>
  <si>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</si>
  <si>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</si>
  <si>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</si>
  <si>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</si>
  <si>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</si>
  <si>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</si>
  <si>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</si>
  <si>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</si>
  <si>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</si>
  <si>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</si>
  <si>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</si>
  <si>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</si>
  <si>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</si>
  <si>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</si>
  <si>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</si>
  <si>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</si>
  <si>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</si>
  <si>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</si>
  <si>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</si>
  <si>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</si>
  <si>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</si>
  <si>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</si>
  <si>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</si>
  <si>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</si>
  <si>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</si>
  <si>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</si>
  <si>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</si>
  <si>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</si>
  <si>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</si>
  <si>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</si>
  <si>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</si>
  <si>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</si>
  <si>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</si>
  <si>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</si>
  <si>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</si>
  <si>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</si>
  <si>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</si>
  <si>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</si>
  <si>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</si>
  <si>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</si>
  <si>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</si>
  <si>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</si>
  <si>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</si>
  <si>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</si>
  <si>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</si>
  <si>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</si>
  <si>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</si>
  <si>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</si>
  <si>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</si>
  <si>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</si>
  <si>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</si>
  <si>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</si>
  <si>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</si>
  <si>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</si>
  <si>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</si>
  <si>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</si>
  <si>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</si>
  <si>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</si>
  <si>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</si>
  <si>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</si>
  <si>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</si>
  <si>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</si>
  <si>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</si>
  <si>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</si>
  <si>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</si>
  <si>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</si>
  <si>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</si>
  <si>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</si>
  <si>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</si>
  <si>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</si>
  <si>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</si>
  <si>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</si>
  <si>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</si>
  <si>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</si>
  <si>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</si>
  <si>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</si>
  <si>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</si>
  <si>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</si>
  <si>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</si>
  <si>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</si>
  <si>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</si>
  <si>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</si>
  <si>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</si>
  <si>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</si>
  <si>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</si>
  <si>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</si>
  <si>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</si>
  <si>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</si>
  <si>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</si>
  <si>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</si>
  <si>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</si>
  <si>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</si>
  <si>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</si>
  <si>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</si>
  <si>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</si>
  <si>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</si>
  <si>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</si>
  <si>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</si>
  <si>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</si>
  <si>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</si>
  <si>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</si>
  <si>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</si>
  <si>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</si>
  <si>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</si>
  <si>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</si>
  <si>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</si>
  <si>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</si>
  <si>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</si>
  <si>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</si>
  <si>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</si>
  <si>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</si>
  <si>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</si>
  <si>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</si>
  <si>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</si>
  <si>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</si>
  <si>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</si>
  <si>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</si>
  <si>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</si>
  <si>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</si>
  <si>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</si>
  <si>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</si>
  <si>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</si>
  <si>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</si>
  <si>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</si>
  <si>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</si>
  <si>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</si>
  <si>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</si>
  <si>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</si>
  <si>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</si>
  <si>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</si>
  <si>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</si>
  <si>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</si>
  <si>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</si>
  <si>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</si>
  <si>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</si>
  <si>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</si>
  <si>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</si>
  <si>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</si>
  <si>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</si>
  <si>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</si>
  <si>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</si>
  <si>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</si>
  <si>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</si>
  <si>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</si>
  <si>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</si>
  <si>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</si>
  <si>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</si>
  <si>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</si>
  <si>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</si>
  <si>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</si>
  <si>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</si>
  <si>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</si>
  <si>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</si>
  <si>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</si>
  <si>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</si>
  <si>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</si>
  <si>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</si>
  <si>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</si>
  <si>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</si>
  <si>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</si>
  <si>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</si>
  <si>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</si>
  <si>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</si>
  <si>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</si>
  <si>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</si>
  <si>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</si>
  <si>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</si>
  <si>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</si>
  <si>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</si>
  <si>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</si>
  <si>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</si>
  <si>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</si>
  <si>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</si>
  <si>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</si>
  <si>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</si>
  <si>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</si>
  <si>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</si>
  <si>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</si>
  <si>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</si>
  <si>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</si>
  <si>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</si>
  <si>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</si>
  <si>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</si>
  <si>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</si>
  <si>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</si>
  <si>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</si>
  <si>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</si>
  <si>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</si>
  <si>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</si>
  <si>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</si>
  <si>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</si>
  <si>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</si>
  <si>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</si>
  <si>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</si>
  <si>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</si>
  <si>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</si>
  <si>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</si>
  <si>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</si>
  <si>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</si>
  <si>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</si>
  <si>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</si>
  <si>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</si>
  <si>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</si>
  <si>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</si>
  <si>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</si>
  <si>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</si>
  <si>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</si>
  <si>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</si>
  <si>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</si>
  <si>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</si>
  <si>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</si>
  <si>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</si>
  <si>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</si>
  <si>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</si>
  <si>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</si>
  <si>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</si>
  <si>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</si>
  <si>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</si>
  <si>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</si>
  <si>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</si>
  <si>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</si>
  <si>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</si>
  <si>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</si>
  <si>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</si>
  <si>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</si>
  <si>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</si>
  <si>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</si>
  <si>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</si>
  <si>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</si>
  <si>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</si>
  <si>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</si>
  <si>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</si>
  <si>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</si>
  <si>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</si>
  <si>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</si>
  <si>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</si>
  <si>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</si>
  <si>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</si>
  <si>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</si>
  <si>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</si>
  <si>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</si>
  <si>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</si>
  <si>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</si>
  <si>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</si>
  <si>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</si>
  <si>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</si>
  <si>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</si>
  <si>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</si>
  <si>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</si>
  <si>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</si>
  <si>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</si>
  <si>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</si>
  <si>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</si>
  <si>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</si>
  <si>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</si>
  <si>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Pycnonotidae</t>
  </si>
  <si>
    <t>Pycnontus bimaculatus</t>
  </si>
  <si>
    <t>Naturalis</t>
  </si>
  <si>
    <t>RMNH125828</t>
  </si>
  <si>
    <t>5/11/1909</t>
  </si>
  <si>
    <t>Tjinjiroean</t>
  </si>
  <si>
    <t>Indonesia (Java)</t>
  </si>
  <si>
    <t>Sec1</t>
  </si>
  <si>
    <t>barat</t>
  </si>
  <si>
    <t>RMNH125808</t>
  </si>
  <si>
    <t>Tangkuban Prahoe</t>
  </si>
  <si>
    <t>23/6/1926</t>
  </si>
  <si>
    <t>RMNH125815</t>
  </si>
  <si>
    <t>8/11/1909</t>
  </si>
  <si>
    <t>5/6/1955</t>
  </si>
  <si>
    <t>Tjilameta, Tangkuban Prahu, W. Java, 1400m</t>
  </si>
  <si>
    <t>5/12/1910</t>
  </si>
  <si>
    <t>RMNH125831</t>
  </si>
  <si>
    <t>RMNH125832</t>
  </si>
  <si>
    <t>RMNH125826</t>
  </si>
  <si>
    <t>7/11/1909</t>
  </si>
  <si>
    <t>RMNH125816</t>
  </si>
  <si>
    <t>23/3/1922</t>
  </si>
  <si>
    <t>Java</t>
  </si>
  <si>
    <t>RMNH125326</t>
  </si>
  <si>
    <t>19/6/1916</t>
  </si>
  <si>
    <t>Rimbo Pengadang (Lebong), Bengkulu</t>
  </si>
  <si>
    <t>Indonesia</t>
  </si>
  <si>
    <t>RMNH125325</t>
  </si>
  <si>
    <t>19/5/1915</t>
  </si>
  <si>
    <t xml:space="preserve">Tanangtalu,  Sumatra, Pad. Bovenlanden, Ophir Distrikten </t>
  </si>
  <si>
    <t>RMNH125327</t>
  </si>
  <si>
    <t>11/7/1916</t>
  </si>
  <si>
    <t>Suban Ajam (Redjang), Bengkulen</t>
  </si>
  <si>
    <t>RMNH125328</t>
  </si>
  <si>
    <t>7/6/1915</t>
  </si>
  <si>
    <t>21/8/1920</t>
  </si>
  <si>
    <t>Bandar Bahroe (Boven Deli) Sumatra</t>
  </si>
  <si>
    <t>RMNH125334</t>
  </si>
  <si>
    <t>9/5/1915</t>
  </si>
  <si>
    <t>RMNH125333</t>
  </si>
  <si>
    <t>6/5/1915</t>
  </si>
  <si>
    <t>RMNH125332</t>
  </si>
  <si>
    <t>Takengon (Atjeh)</t>
  </si>
  <si>
    <t>1/4/1920</t>
  </si>
  <si>
    <t>?</t>
  </si>
  <si>
    <t>Indonesia (probably</t>
  </si>
  <si>
    <t>RMNH125330</t>
  </si>
  <si>
    <t>RMNH125329</t>
  </si>
  <si>
    <t>1833</t>
  </si>
  <si>
    <t>Western Sumatra</t>
  </si>
  <si>
    <t>I did not measure wings because the wings are quite stiff on this historical/mounted specimen</t>
  </si>
  <si>
    <t>RMNH125335</t>
  </si>
  <si>
    <t>12/5/1917</t>
  </si>
  <si>
    <t xml:space="preserve"> Gunung Talamau, NW helling ,  Sumatra, Ophir Distrikten , 1000m</t>
  </si>
  <si>
    <t>RMNH125336</t>
  </si>
  <si>
    <t>13/5/1915</t>
  </si>
  <si>
    <t>RMNH125337</t>
  </si>
  <si>
    <t>5/6/1915</t>
  </si>
  <si>
    <t>RMNH125338</t>
  </si>
  <si>
    <t>contained beetle</t>
  </si>
  <si>
    <t>RMNH125339</t>
  </si>
  <si>
    <t>11/5/1915</t>
  </si>
  <si>
    <t>RMNH125340</t>
  </si>
  <si>
    <t>RMNH125341</t>
  </si>
  <si>
    <t>RMNH125342</t>
  </si>
  <si>
    <t>RMNH125343</t>
  </si>
  <si>
    <t>Hypsipetes siquijorensis</t>
  </si>
  <si>
    <t>RMNH99781</t>
  </si>
  <si>
    <t>30/5/1963</t>
  </si>
  <si>
    <t>Lazi, Pop, Siquijor Prov. Siquijor ID</t>
  </si>
  <si>
    <t>Philippines</t>
  </si>
  <si>
    <t>RMNH13822</t>
  </si>
  <si>
    <t>Prov. Lunda, NE Angola</t>
  </si>
  <si>
    <t>Angola</t>
  </si>
  <si>
    <t>RMNH92614</t>
  </si>
  <si>
    <t>24/08/1979</t>
  </si>
  <si>
    <t>Kimpopo, 04,12S, 15,33E</t>
  </si>
  <si>
    <t>Zaire</t>
  </si>
  <si>
    <t>RMNH13818</t>
  </si>
  <si>
    <t>1928</t>
  </si>
  <si>
    <t>RMNH82441</t>
  </si>
  <si>
    <t>04-07-1978</t>
  </si>
  <si>
    <t>Kakamega, Western Province</t>
  </si>
  <si>
    <t>Kenya</t>
  </si>
  <si>
    <t>RMNH126290</t>
  </si>
  <si>
    <t>6-?-1884</t>
  </si>
  <si>
    <t>Liberia (?)</t>
  </si>
  <si>
    <t>Gabon?</t>
  </si>
  <si>
    <t>RMNH126289</t>
  </si>
  <si>
    <t>Ixos leucogrammicus</t>
  </si>
  <si>
    <t>MPJN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</si>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</sst>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4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4"/>
  <sheetViews>
    <sheetView tabSelected="1" topLeftCell="H1" workbookViewId="0">
      <pane ySplit="1" topLeftCell="A6" activePane="bottomLeft" state="frozen"/>
      <selection pane="bottomLeft" activeCell="N19" sqref="N19"/>
    </sheetView>
  </sheetViews>
  <sheetFormatPr baseColWidth="10" defaultColWidth="8.83203125" defaultRowHeight="15" x14ac:dyDescent="0.2"/>
  <cols>
    <col min="1" max="1" width="8.83203125" style="8"/>
    <col min="2" max="2" width="15.5" style="8" bestFit="1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5.83203125" style="10" bestFit="1" customWidth="1"/>
    <col min="18" max="18" width="13.1640625" style="10" bestFit="1" customWidth="1"/>
    <col min="19" max="19" width="13.1640625" style="10" customWidth="1"/>
    <col min="20" max="20" width="12.5" style="10" bestFit="1" customWidth="1"/>
    <col min="21" max="22" width="8.83203125" style="8"/>
    <col min="23" max="23" width="16.832031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9683</v>
      </c>
      <c r="R1" s="9" t="s">
        <v>9684</v>
      </c>
      <c r="S1" s="9" t="s">
        <v>9702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B2" t="s">
        <v>9695</v>
      </c>
      <c r="D2" s="8" t="s">
        <v>9696</v>
      </c>
      <c r="E2" s="8" t="s">
        <v>9697</v>
      </c>
      <c r="F2" t="s">
        <v>9698</v>
      </c>
      <c r="G2" s="13" t="s">
        <v>9699</v>
      </c>
      <c r="H2" t="s">
        <v>9700</v>
      </c>
      <c r="I2" s="8" t="s">
        <v>9701</v>
      </c>
      <c r="J2" t="s">
        <v>9693</v>
      </c>
      <c r="K2" s="10">
        <v>12.87</v>
      </c>
      <c r="L2" s="10">
        <v>9.06</v>
      </c>
      <c r="M2" s="10">
        <v>3.69</v>
      </c>
      <c r="N2" s="10">
        <v>4.8</v>
      </c>
      <c r="O2" s="10">
        <v>10.09</v>
      </c>
      <c r="P2" s="10">
        <v>15.7</v>
      </c>
      <c r="Q2" s="10">
        <f>R2-S2</f>
        <v>9.9399999999999977</v>
      </c>
      <c r="R2" s="10">
        <v>86</v>
      </c>
      <c r="S2" s="10">
        <v>76.06</v>
      </c>
      <c r="T2" s="10">
        <v>88.35</v>
      </c>
      <c r="U2" s="8" t="s">
        <v>9703</v>
      </c>
      <c r="W2" s="11" t="s">
        <v>9786</v>
      </c>
    </row>
    <row r="3" spans="1:24" x14ac:dyDescent="0.2">
      <c r="B3" t="s">
        <v>9695</v>
      </c>
      <c r="D3" s="8" t="s">
        <v>9696</v>
      </c>
      <c r="E3" s="8" t="s">
        <v>9697</v>
      </c>
      <c r="F3" t="s">
        <v>9704</v>
      </c>
      <c r="G3" s="13" t="s">
        <v>9706</v>
      </c>
      <c r="H3" t="s">
        <v>9705</v>
      </c>
      <c r="I3" s="8" t="s">
        <v>9701</v>
      </c>
      <c r="J3" t="s">
        <v>9693</v>
      </c>
      <c r="K3" s="10">
        <v>15.08</v>
      </c>
      <c r="L3" s="10">
        <v>8.56</v>
      </c>
      <c r="M3" s="10">
        <v>4.67</v>
      </c>
      <c r="N3" s="10">
        <v>4.83</v>
      </c>
      <c r="O3" s="10">
        <v>12.67</v>
      </c>
      <c r="P3" s="10">
        <v>17.98</v>
      </c>
      <c r="Q3" s="10" t="s">
        <v>9787</v>
      </c>
      <c r="R3" s="10">
        <v>86</v>
      </c>
      <c r="S3" s="10" t="s">
        <v>9787</v>
      </c>
      <c r="T3" s="10">
        <v>93.98</v>
      </c>
      <c r="U3" s="8" t="s">
        <v>9703</v>
      </c>
      <c r="W3" s="11" t="s">
        <v>9786</v>
      </c>
    </row>
    <row r="4" spans="1:24" x14ac:dyDescent="0.2">
      <c r="B4" t="s">
        <v>9695</v>
      </c>
      <c r="D4" s="8" t="s">
        <v>9696</v>
      </c>
      <c r="E4" s="8" t="s">
        <v>9697</v>
      </c>
      <c r="F4" t="s">
        <v>9707</v>
      </c>
      <c r="G4" s="13" t="s">
        <v>9708</v>
      </c>
      <c r="H4" t="s">
        <v>9700</v>
      </c>
      <c r="I4" s="8" t="s">
        <v>9701</v>
      </c>
      <c r="J4" t="s">
        <v>9694</v>
      </c>
      <c r="K4" s="10">
        <v>19.34</v>
      </c>
      <c r="L4" s="10">
        <v>8.6300000000000008</v>
      </c>
      <c r="M4" s="10">
        <v>3.29</v>
      </c>
      <c r="N4" s="10">
        <v>5.07</v>
      </c>
      <c r="O4" s="10">
        <v>11.49</v>
      </c>
      <c r="P4" s="10">
        <v>18.98</v>
      </c>
      <c r="Q4" s="10">
        <f t="shared" ref="Q4:Q19" si="0">R4-S4</f>
        <v>9.8499999999999943</v>
      </c>
      <c r="R4" s="10">
        <v>89</v>
      </c>
      <c r="S4" s="10">
        <v>79.150000000000006</v>
      </c>
      <c r="T4" s="10">
        <v>96.09</v>
      </c>
      <c r="U4" s="8" t="s">
        <v>9703</v>
      </c>
      <c r="W4" s="11" t="s">
        <v>9786</v>
      </c>
    </row>
    <row r="5" spans="1:24" x14ac:dyDescent="0.2">
      <c r="B5" t="s">
        <v>9695</v>
      </c>
      <c r="D5" s="8" t="s">
        <v>9696</v>
      </c>
      <c r="E5" s="8" t="s">
        <v>9697</v>
      </c>
      <c r="F5">
        <v>81989</v>
      </c>
      <c r="G5" s="13" t="s">
        <v>9709</v>
      </c>
      <c r="H5" t="s">
        <v>9710</v>
      </c>
      <c r="I5" s="8" t="s">
        <v>9701</v>
      </c>
      <c r="J5" t="s">
        <v>9694</v>
      </c>
      <c r="K5" s="10">
        <v>17.5</v>
      </c>
      <c r="L5" s="10">
        <v>9.16</v>
      </c>
      <c r="M5" s="10">
        <v>4.28</v>
      </c>
      <c r="N5" s="10">
        <v>5.47</v>
      </c>
      <c r="O5" s="10">
        <v>10.84</v>
      </c>
      <c r="P5" s="10">
        <v>19.010000000000002</v>
      </c>
      <c r="Q5" s="10">
        <f t="shared" si="0"/>
        <v>10.709999999999994</v>
      </c>
      <c r="R5" s="10">
        <v>86</v>
      </c>
      <c r="S5" s="10">
        <v>75.290000000000006</v>
      </c>
      <c r="T5" s="10">
        <v>86.41</v>
      </c>
      <c r="U5" s="8" t="s">
        <v>9703</v>
      </c>
      <c r="W5" s="11" t="s">
        <v>9786</v>
      </c>
    </row>
    <row r="6" spans="1:24" x14ac:dyDescent="0.2">
      <c r="B6" t="s">
        <v>9695</v>
      </c>
      <c r="D6" s="8" t="s">
        <v>9696</v>
      </c>
      <c r="E6" s="8" t="s">
        <v>9697</v>
      </c>
      <c r="F6" t="s">
        <v>9712</v>
      </c>
      <c r="G6" s="13" t="s">
        <v>9711</v>
      </c>
      <c r="H6" t="s">
        <v>9700</v>
      </c>
      <c r="I6" s="8" t="s">
        <v>9701</v>
      </c>
      <c r="J6" t="s">
        <v>9693</v>
      </c>
      <c r="K6" s="10">
        <v>15.43</v>
      </c>
      <c r="L6" s="10">
        <v>7.97</v>
      </c>
      <c r="M6" s="10">
        <v>3.99</v>
      </c>
      <c r="N6" s="10">
        <v>4.6500000000000004</v>
      </c>
      <c r="O6" s="10">
        <v>9.89</v>
      </c>
      <c r="P6" s="10">
        <v>17.510000000000002</v>
      </c>
      <c r="Q6" s="10">
        <f t="shared" si="0"/>
        <v>10.219999999999999</v>
      </c>
      <c r="R6" s="10">
        <v>86</v>
      </c>
      <c r="S6" s="10">
        <v>75.78</v>
      </c>
      <c r="T6" s="10">
        <v>92.22</v>
      </c>
      <c r="U6" s="8" t="s">
        <v>9703</v>
      </c>
      <c r="W6" s="11" t="s">
        <v>9786</v>
      </c>
    </row>
    <row r="7" spans="1:24" x14ac:dyDescent="0.2">
      <c r="B7" t="s">
        <v>9695</v>
      </c>
      <c r="D7" s="8" t="s">
        <v>9696</v>
      </c>
      <c r="E7" s="8" t="s">
        <v>9697</v>
      </c>
      <c r="F7" t="s">
        <v>9713</v>
      </c>
      <c r="G7" s="13" t="s">
        <v>9699</v>
      </c>
      <c r="H7" t="s">
        <v>9700</v>
      </c>
      <c r="I7" s="8" t="s">
        <v>9701</v>
      </c>
      <c r="J7" t="s">
        <v>9694</v>
      </c>
      <c r="K7" s="10">
        <v>16.149999999999999</v>
      </c>
      <c r="L7" s="10">
        <v>9.5299999999999994</v>
      </c>
      <c r="M7" s="10">
        <v>4.33</v>
      </c>
      <c r="N7" s="10">
        <v>5.12</v>
      </c>
      <c r="O7" s="10">
        <v>9.9700000000000006</v>
      </c>
      <c r="P7" s="10">
        <v>18.11</v>
      </c>
      <c r="Q7" s="10">
        <f t="shared" si="0"/>
        <v>7.9300000000000068</v>
      </c>
      <c r="R7" s="10">
        <v>87</v>
      </c>
      <c r="S7" s="10">
        <v>79.069999999999993</v>
      </c>
      <c r="T7" s="10">
        <v>94.16</v>
      </c>
      <c r="U7" s="8" t="s">
        <v>9703</v>
      </c>
      <c r="W7" s="11" t="s">
        <v>9786</v>
      </c>
    </row>
    <row r="8" spans="1:24" x14ac:dyDescent="0.2">
      <c r="B8" t="s">
        <v>9695</v>
      </c>
      <c r="D8" s="8" t="s">
        <v>9696</v>
      </c>
      <c r="E8" s="8" t="s">
        <v>9697</v>
      </c>
      <c r="F8" t="s">
        <v>9714</v>
      </c>
      <c r="G8" s="13" t="s">
        <v>9715</v>
      </c>
      <c r="H8" t="s">
        <v>9700</v>
      </c>
      <c r="I8" s="8" t="s">
        <v>9701</v>
      </c>
      <c r="J8" t="s">
        <v>9693</v>
      </c>
      <c r="K8" s="10">
        <v>16.04</v>
      </c>
      <c r="L8" s="10">
        <v>8.59</v>
      </c>
      <c r="M8" s="10">
        <v>3.88</v>
      </c>
      <c r="N8" s="10">
        <v>4.83</v>
      </c>
      <c r="O8" s="10">
        <v>8.3800000000000008</v>
      </c>
      <c r="P8" s="10">
        <v>18.18</v>
      </c>
      <c r="Q8" s="10">
        <f t="shared" si="0"/>
        <v>7.5999999999999943</v>
      </c>
      <c r="R8" s="10">
        <v>83</v>
      </c>
      <c r="S8" s="10">
        <v>75.400000000000006</v>
      </c>
      <c r="T8" s="10">
        <v>99.88</v>
      </c>
      <c r="U8" s="8" t="s">
        <v>9703</v>
      </c>
      <c r="W8" s="11" t="s">
        <v>9786</v>
      </c>
    </row>
    <row r="9" spans="1:24" x14ac:dyDescent="0.2">
      <c r="B9" t="s">
        <v>9695</v>
      </c>
      <c r="D9" s="8" t="s">
        <v>9696</v>
      </c>
      <c r="E9" s="8" t="s">
        <v>9697</v>
      </c>
      <c r="F9" t="s">
        <v>9716</v>
      </c>
      <c r="G9" s="13" t="s">
        <v>9717</v>
      </c>
      <c r="H9" t="s">
        <v>9718</v>
      </c>
      <c r="I9" s="8" t="s">
        <v>9701</v>
      </c>
      <c r="J9" t="s">
        <v>9694</v>
      </c>
      <c r="K9" s="10">
        <v>15.24</v>
      </c>
      <c r="L9" s="10">
        <v>8.8699999999999992</v>
      </c>
      <c r="M9" s="10">
        <v>4.2300000000000004</v>
      </c>
      <c r="N9" s="10">
        <v>5.13</v>
      </c>
      <c r="O9" s="10">
        <v>9.2799999999999994</v>
      </c>
      <c r="P9" s="10">
        <v>19.12</v>
      </c>
      <c r="Q9" s="10">
        <f t="shared" si="0"/>
        <v>10.769999999999996</v>
      </c>
      <c r="R9" s="10">
        <v>89</v>
      </c>
      <c r="S9" s="10">
        <v>78.23</v>
      </c>
      <c r="T9" s="10">
        <v>99.88</v>
      </c>
      <c r="U9" s="8" t="s">
        <v>9703</v>
      </c>
      <c r="W9" s="11" t="s">
        <v>9786</v>
      </c>
    </row>
    <row r="10" spans="1:24" x14ac:dyDescent="0.2">
      <c r="D10" t="s">
        <v>9785</v>
      </c>
      <c r="E10" s="8" t="s">
        <v>9697</v>
      </c>
      <c r="F10" t="s">
        <v>9719</v>
      </c>
      <c r="G10" s="13" t="s">
        <v>9720</v>
      </c>
      <c r="H10" t="s">
        <v>9721</v>
      </c>
      <c r="I10" t="s">
        <v>9722</v>
      </c>
      <c r="J10" t="s">
        <v>9694</v>
      </c>
      <c r="K10" s="10">
        <v>12.99</v>
      </c>
      <c r="L10" s="10">
        <v>7.56</v>
      </c>
      <c r="M10" s="10">
        <v>3.48</v>
      </c>
      <c r="N10" s="10">
        <v>3.91</v>
      </c>
      <c r="O10" s="10">
        <v>5.76</v>
      </c>
      <c r="P10" s="10">
        <v>12.75</v>
      </c>
      <c r="Q10" s="10">
        <f t="shared" si="0"/>
        <v>8.5300000000000011</v>
      </c>
      <c r="R10" s="10">
        <v>76</v>
      </c>
      <c r="S10" s="10">
        <v>67.47</v>
      </c>
      <c r="T10" s="10">
        <v>79.38</v>
      </c>
      <c r="W10" s="11" t="s">
        <v>9786</v>
      </c>
    </row>
    <row r="11" spans="1:24" x14ac:dyDescent="0.2">
      <c r="D11" t="s">
        <v>9785</v>
      </c>
      <c r="E11" s="8" t="s">
        <v>9697</v>
      </c>
      <c r="F11" t="s">
        <v>9723</v>
      </c>
      <c r="G11" s="13" t="s">
        <v>9724</v>
      </c>
      <c r="H11" t="s">
        <v>9725</v>
      </c>
      <c r="I11" t="s">
        <v>9722</v>
      </c>
      <c r="J11" t="s">
        <v>9694</v>
      </c>
      <c r="K11" s="10">
        <v>14.47</v>
      </c>
      <c r="L11" s="10">
        <v>8.26</v>
      </c>
      <c r="M11" s="10">
        <v>3.69</v>
      </c>
      <c r="N11" s="10">
        <v>4.26</v>
      </c>
      <c r="O11" s="10">
        <v>6.51</v>
      </c>
      <c r="P11" s="10">
        <v>12.71</v>
      </c>
      <c r="Q11" s="10">
        <f t="shared" si="0"/>
        <v>15.170000000000002</v>
      </c>
      <c r="R11" s="10">
        <v>83</v>
      </c>
      <c r="S11" s="10">
        <v>67.83</v>
      </c>
      <c r="T11" s="10">
        <v>88.94</v>
      </c>
      <c r="W11" s="11" t="s">
        <v>9786</v>
      </c>
    </row>
    <row r="12" spans="1:24" x14ac:dyDescent="0.2">
      <c r="D12" t="s">
        <v>9785</v>
      </c>
      <c r="E12" s="8" t="s">
        <v>9697</v>
      </c>
      <c r="F12" t="s">
        <v>9726</v>
      </c>
      <c r="G12" s="13" t="s">
        <v>9727</v>
      </c>
      <c r="H12" t="s">
        <v>9728</v>
      </c>
      <c r="I12" t="s">
        <v>9722</v>
      </c>
      <c r="J12" t="s">
        <v>9693</v>
      </c>
      <c r="K12" s="10">
        <v>15.1</v>
      </c>
      <c r="L12" s="10">
        <v>7.27</v>
      </c>
      <c r="M12" s="10">
        <v>3.25</v>
      </c>
      <c r="N12" s="10">
        <v>4.4000000000000004</v>
      </c>
      <c r="O12" s="10">
        <v>7.92</v>
      </c>
      <c r="P12" s="10">
        <v>14.8</v>
      </c>
      <c r="Q12" s="10">
        <f t="shared" si="0"/>
        <v>14.280000000000001</v>
      </c>
      <c r="R12" s="10">
        <v>83</v>
      </c>
      <c r="S12" s="10">
        <v>68.72</v>
      </c>
      <c r="T12" s="10">
        <v>83.82</v>
      </c>
      <c r="W12" s="11" t="s">
        <v>9786</v>
      </c>
    </row>
    <row r="13" spans="1:24" x14ac:dyDescent="0.2">
      <c r="D13" t="s">
        <v>9785</v>
      </c>
      <c r="E13" s="8" t="s">
        <v>9697</v>
      </c>
      <c r="F13" t="s">
        <v>9729</v>
      </c>
      <c r="G13" s="13" t="s">
        <v>9730</v>
      </c>
      <c r="H13" t="s">
        <v>9725</v>
      </c>
      <c r="I13" t="s">
        <v>9722</v>
      </c>
      <c r="J13" t="s">
        <v>9694</v>
      </c>
      <c r="K13" s="10">
        <v>12.57</v>
      </c>
      <c r="L13" s="10">
        <v>8.5</v>
      </c>
      <c r="M13" s="10">
        <v>3.46</v>
      </c>
      <c r="N13" s="10">
        <v>4.07</v>
      </c>
      <c r="O13" s="10">
        <v>7.08</v>
      </c>
      <c r="P13" s="10">
        <v>15.25</v>
      </c>
      <c r="Q13" s="10">
        <f t="shared" si="0"/>
        <v>14.480000000000004</v>
      </c>
      <c r="R13" s="10">
        <v>84</v>
      </c>
      <c r="S13" s="10">
        <v>69.52</v>
      </c>
      <c r="T13" s="10">
        <v>89.47</v>
      </c>
      <c r="W13" s="11" t="s">
        <v>9786</v>
      </c>
    </row>
    <row r="14" spans="1:24" x14ac:dyDescent="0.2">
      <c r="D14" t="s">
        <v>9785</v>
      </c>
      <c r="E14" s="8" t="s">
        <v>9697</v>
      </c>
      <c r="F14">
        <v>61195</v>
      </c>
      <c r="G14" s="13" t="s">
        <v>9731</v>
      </c>
      <c r="H14" t="s">
        <v>9732</v>
      </c>
      <c r="I14" t="s">
        <v>9722</v>
      </c>
      <c r="J14" t="s">
        <v>9694</v>
      </c>
      <c r="K14" s="10">
        <v>12.55</v>
      </c>
      <c r="L14" s="10">
        <v>8.25</v>
      </c>
      <c r="M14" s="10">
        <v>3.91</v>
      </c>
      <c r="N14" s="10">
        <v>3.81</v>
      </c>
      <c r="O14" s="10">
        <v>8.06</v>
      </c>
      <c r="P14" s="10">
        <v>13.48</v>
      </c>
      <c r="Q14" s="10">
        <f t="shared" si="0"/>
        <v>12.060000000000002</v>
      </c>
      <c r="R14" s="10">
        <v>81</v>
      </c>
      <c r="S14" s="10">
        <v>68.94</v>
      </c>
      <c r="T14" s="10">
        <v>77.16</v>
      </c>
      <c r="W14" s="11" t="s">
        <v>9786</v>
      </c>
    </row>
    <row r="15" spans="1:24" x14ac:dyDescent="0.2">
      <c r="D15" t="s">
        <v>9785</v>
      </c>
      <c r="E15" s="8" t="s">
        <v>9697</v>
      </c>
      <c r="F15" t="s">
        <v>9733</v>
      </c>
      <c r="G15" s="13" t="s">
        <v>9734</v>
      </c>
      <c r="H15" t="s">
        <v>9725</v>
      </c>
      <c r="I15" t="s">
        <v>9722</v>
      </c>
      <c r="J15" t="s">
        <v>9693</v>
      </c>
      <c r="K15" s="10" t="s">
        <v>9787</v>
      </c>
      <c r="L15" s="10">
        <v>7.71</v>
      </c>
      <c r="M15" s="10">
        <v>3.25</v>
      </c>
      <c r="N15" s="10">
        <v>4.88</v>
      </c>
      <c r="O15" s="10">
        <v>8.8000000000000007</v>
      </c>
      <c r="P15" s="10">
        <v>14.51</v>
      </c>
      <c r="Q15" s="10">
        <f t="shared" si="0"/>
        <v>16.090000000000003</v>
      </c>
      <c r="R15" s="10">
        <v>83</v>
      </c>
      <c r="S15" s="10">
        <v>66.91</v>
      </c>
      <c r="T15" s="10">
        <v>81.06</v>
      </c>
      <c r="W15" s="11" t="s">
        <v>9786</v>
      </c>
    </row>
    <row r="16" spans="1:24" x14ac:dyDescent="0.2">
      <c r="D16" t="s">
        <v>9785</v>
      </c>
      <c r="E16" s="8" t="s">
        <v>9697</v>
      </c>
      <c r="F16" t="s">
        <v>9735</v>
      </c>
      <c r="G16" s="13" t="s">
        <v>9736</v>
      </c>
      <c r="H16" t="s">
        <v>9725</v>
      </c>
      <c r="I16" t="s">
        <v>9722</v>
      </c>
      <c r="J16" t="s">
        <v>9693</v>
      </c>
      <c r="K16" s="10">
        <v>14.32</v>
      </c>
      <c r="L16" s="10">
        <v>8.0299999999999994</v>
      </c>
      <c r="M16" s="10">
        <v>3.11</v>
      </c>
      <c r="N16" s="10">
        <v>4.41</v>
      </c>
      <c r="O16" s="10">
        <v>8.0299999999999994</v>
      </c>
      <c r="P16" s="10">
        <v>14.21</v>
      </c>
      <c r="Q16" s="10">
        <f t="shared" si="0"/>
        <v>11.870000000000005</v>
      </c>
      <c r="R16" s="10">
        <v>81</v>
      </c>
      <c r="S16" s="10">
        <v>69.13</v>
      </c>
      <c r="T16" s="10">
        <v>86.27</v>
      </c>
      <c r="W16" s="11" t="s">
        <v>9786</v>
      </c>
    </row>
    <row r="17" spans="4:25" x14ac:dyDescent="0.2">
      <c r="D17" t="s">
        <v>9785</v>
      </c>
      <c r="E17" s="8" t="s">
        <v>9697</v>
      </c>
      <c r="F17" t="s">
        <v>9737</v>
      </c>
      <c r="G17" s="13" t="s">
        <v>9739</v>
      </c>
      <c r="H17" t="s">
        <v>9738</v>
      </c>
      <c r="I17" t="s">
        <v>9722</v>
      </c>
      <c r="J17" t="s">
        <v>9694</v>
      </c>
      <c r="K17" s="10" t="s">
        <v>9787</v>
      </c>
      <c r="L17" s="10">
        <v>7.78</v>
      </c>
      <c r="M17" s="10">
        <v>3.14</v>
      </c>
      <c r="N17" s="10">
        <v>4.29</v>
      </c>
      <c r="O17" s="10">
        <v>6.61</v>
      </c>
      <c r="P17" s="10">
        <v>14.06</v>
      </c>
      <c r="Q17" s="10">
        <f t="shared" si="0"/>
        <v>7.3299999999999983</v>
      </c>
      <c r="R17" s="10">
        <v>78</v>
      </c>
      <c r="S17" s="10">
        <v>70.67</v>
      </c>
      <c r="T17" s="10">
        <v>74.61</v>
      </c>
      <c r="W17" s="11" t="s">
        <v>9786</v>
      </c>
    </row>
    <row r="18" spans="4:25" x14ac:dyDescent="0.2">
      <c r="D18" t="s">
        <v>9785</v>
      </c>
      <c r="E18" s="8" t="s">
        <v>9697</v>
      </c>
      <c r="F18">
        <v>5013</v>
      </c>
      <c r="G18" s="13" t="s">
        <v>9740</v>
      </c>
      <c r="H18" s="13" t="s">
        <v>9740</v>
      </c>
      <c r="I18" t="s">
        <v>9741</v>
      </c>
      <c r="J18" t="s">
        <v>9740</v>
      </c>
      <c r="K18" s="10" t="s">
        <v>9787</v>
      </c>
      <c r="L18" s="10">
        <v>7.03</v>
      </c>
      <c r="M18" s="10">
        <v>3.4</v>
      </c>
      <c r="N18" s="10" t="s">
        <v>9787</v>
      </c>
      <c r="O18" s="10">
        <v>5.83</v>
      </c>
      <c r="P18" s="10">
        <v>13.95</v>
      </c>
      <c r="Q18" s="10">
        <f t="shared" si="0"/>
        <v>13.409999999999997</v>
      </c>
      <c r="R18" s="10">
        <v>85</v>
      </c>
      <c r="S18" s="10">
        <v>71.59</v>
      </c>
      <c r="T18" s="10">
        <v>78.599999999999994</v>
      </c>
      <c r="W18" s="11" t="s">
        <v>9786</v>
      </c>
    </row>
    <row r="19" spans="4:25" x14ac:dyDescent="0.2">
      <c r="D19" t="s">
        <v>9785</v>
      </c>
      <c r="E19" s="8" t="s">
        <v>9697</v>
      </c>
      <c r="F19" t="s">
        <v>9742</v>
      </c>
      <c r="G19" s="13" t="s">
        <v>9739</v>
      </c>
      <c r="H19" t="s">
        <v>9738</v>
      </c>
      <c r="I19" t="s">
        <v>9722</v>
      </c>
      <c r="J19" t="s">
        <v>9693</v>
      </c>
      <c r="K19" s="10">
        <v>13.14</v>
      </c>
      <c r="L19" s="10">
        <v>9.11</v>
      </c>
      <c r="M19" s="10" t="s">
        <v>9787</v>
      </c>
      <c r="N19" s="10">
        <v>4.2699999999999996</v>
      </c>
      <c r="O19" s="10">
        <v>8.18</v>
      </c>
      <c r="P19" s="10">
        <v>15.38</v>
      </c>
      <c r="Q19" s="10">
        <f t="shared" si="0"/>
        <v>14.760000000000005</v>
      </c>
      <c r="R19" s="10">
        <v>83</v>
      </c>
      <c r="S19" s="10">
        <v>68.239999999999995</v>
      </c>
      <c r="T19" s="10">
        <v>82.88</v>
      </c>
      <c r="W19" s="11" t="s">
        <v>9786</v>
      </c>
    </row>
    <row r="20" spans="4:25" x14ac:dyDescent="0.2">
      <c r="D20" t="s">
        <v>9785</v>
      </c>
      <c r="E20" s="8" t="s">
        <v>9697</v>
      </c>
      <c r="F20" t="s">
        <v>9743</v>
      </c>
      <c r="G20" s="13" t="s">
        <v>9744</v>
      </c>
      <c r="H20" t="s">
        <v>9745</v>
      </c>
      <c r="I20" t="s">
        <v>9722</v>
      </c>
      <c r="J20" t="s">
        <v>9693</v>
      </c>
      <c r="K20" s="10">
        <v>11.46</v>
      </c>
      <c r="L20" s="10">
        <v>8.2899999999999991</v>
      </c>
      <c r="M20" s="10">
        <v>3.66</v>
      </c>
      <c r="N20" s="10">
        <v>4.51</v>
      </c>
      <c r="O20" s="10">
        <v>6.41</v>
      </c>
      <c r="P20" s="10">
        <v>15.73</v>
      </c>
      <c r="Q20" s="10" t="s">
        <v>9787</v>
      </c>
      <c r="R20" s="10" t="s">
        <v>9787</v>
      </c>
      <c r="S20" s="10" t="s">
        <v>9787</v>
      </c>
      <c r="T20" s="10">
        <v>83.86</v>
      </c>
      <c r="V20" s="11" t="s">
        <v>9746</v>
      </c>
      <c r="W20" s="11" t="s">
        <v>9786</v>
      </c>
    </row>
    <row r="21" spans="4:25" x14ac:dyDescent="0.2">
      <c r="D21" s="8" t="s">
        <v>3847</v>
      </c>
      <c r="E21" s="8" t="s">
        <v>9697</v>
      </c>
      <c r="F21" t="s">
        <v>9747</v>
      </c>
      <c r="G21" s="13" t="s">
        <v>9748</v>
      </c>
      <c r="H21" t="s">
        <v>9749</v>
      </c>
      <c r="I21" t="s">
        <v>9722</v>
      </c>
      <c r="J21" t="s">
        <v>9694</v>
      </c>
      <c r="K21" s="10">
        <v>10.71</v>
      </c>
      <c r="L21" s="10">
        <v>7.63</v>
      </c>
      <c r="M21" s="10">
        <v>2.97</v>
      </c>
      <c r="N21" s="10">
        <v>3.56</v>
      </c>
      <c r="O21" s="10">
        <v>6.13</v>
      </c>
      <c r="P21" s="10">
        <v>16.489999999999998</v>
      </c>
      <c r="Q21" s="10">
        <f t="shared" ref="Q21:Q36" si="1">R21-S21</f>
        <v>12.219999999999999</v>
      </c>
      <c r="R21" s="10">
        <v>76</v>
      </c>
      <c r="S21" s="10">
        <v>63.78</v>
      </c>
      <c r="T21" s="10">
        <v>72.680000000000007</v>
      </c>
      <c r="W21" s="11" t="s">
        <v>9786</v>
      </c>
      <c r="X21" s="8"/>
      <c r="Y21" s="10"/>
    </row>
    <row r="22" spans="4:25" x14ac:dyDescent="0.2">
      <c r="D22" s="8" t="s">
        <v>3847</v>
      </c>
      <c r="E22" s="8" t="s">
        <v>9697</v>
      </c>
      <c r="F22" t="s">
        <v>9750</v>
      </c>
      <c r="G22" s="13" t="s">
        <v>9751</v>
      </c>
      <c r="H22" t="s">
        <v>9725</v>
      </c>
      <c r="I22" t="s">
        <v>9722</v>
      </c>
      <c r="J22" t="s">
        <v>9693</v>
      </c>
      <c r="K22" s="10">
        <v>10.85</v>
      </c>
      <c r="L22" s="10">
        <v>6.91</v>
      </c>
      <c r="M22" s="10">
        <v>2.74</v>
      </c>
      <c r="N22" s="10">
        <v>3.65</v>
      </c>
      <c r="O22" s="10">
        <v>6.61</v>
      </c>
      <c r="P22" s="10">
        <v>15.64</v>
      </c>
      <c r="Q22" s="10">
        <f t="shared" si="1"/>
        <v>14.530000000000001</v>
      </c>
      <c r="R22" s="10">
        <v>77</v>
      </c>
      <c r="S22" s="10">
        <v>62.47</v>
      </c>
      <c r="T22" s="10">
        <v>75.08</v>
      </c>
      <c r="V22" s="10"/>
      <c r="W22" s="11" t="s">
        <v>9786</v>
      </c>
    </row>
    <row r="23" spans="4:25" x14ac:dyDescent="0.2">
      <c r="D23" s="8" t="s">
        <v>3847</v>
      </c>
      <c r="E23" s="8" t="s">
        <v>9697</v>
      </c>
      <c r="F23" t="s">
        <v>9752</v>
      </c>
      <c r="G23" s="13" t="s">
        <v>9753</v>
      </c>
      <c r="H23" t="s">
        <v>9725</v>
      </c>
      <c r="I23" t="s">
        <v>9722</v>
      </c>
      <c r="J23" t="s">
        <v>9694</v>
      </c>
      <c r="K23" s="10">
        <v>12.11</v>
      </c>
      <c r="L23" s="10">
        <v>7.28</v>
      </c>
      <c r="M23" s="10">
        <v>2.48</v>
      </c>
      <c r="N23" s="10">
        <v>3.49</v>
      </c>
      <c r="O23" s="10">
        <v>6.14</v>
      </c>
      <c r="P23" s="10">
        <v>14.25</v>
      </c>
      <c r="Q23" s="10">
        <f t="shared" si="1"/>
        <v>14.560000000000002</v>
      </c>
      <c r="R23" s="10">
        <v>75</v>
      </c>
      <c r="S23" s="10">
        <v>60.44</v>
      </c>
      <c r="T23" s="10">
        <v>78.58</v>
      </c>
      <c r="V23" s="10"/>
      <c r="W23" s="11" t="s">
        <v>9786</v>
      </c>
    </row>
    <row r="24" spans="4:25" x14ac:dyDescent="0.2">
      <c r="D24" s="8" t="s">
        <v>3847</v>
      </c>
      <c r="E24" s="8" t="s">
        <v>9697</v>
      </c>
      <c r="F24" t="s">
        <v>9754</v>
      </c>
      <c r="G24" s="13" t="s">
        <v>9724</v>
      </c>
      <c r="H24" t="s">
        <v>9725</v>
      </c>
      <c r="I24" t="s">
        <v>9722</v>
      </c>
      <c r="J24" t="s">
        <v>9693</v>
      </c>
      <c r="K24" s="10">
        <v>11.56</v>
      </c>
      <c r="L24" s="10">
        <v>7.27</v>
      </c>
      <c r="M24" s="10">
        <v>2.7</v>
      </c>
      <c r="N24" s="10">
        <v>3.19</v>
      </c>
      <c r="O24" s="10">
        <v>6.79</v>
      </c>
      <c r="P24" s="10">
        <v>16</v>
      </c>
      <c r="Q24" s="10">
        <f t="shared" si="1"/>
        <v>10.880000000000003</v>
      </c>
      <c r="R24" s="10">
        <v>73</v>
      </c>
      <c r="S24" s="10">
        <v>62.12</v>
      </c>
      <c r="T24" s="10">
        <v>78.58</v>
      </c>
      <c r="V24" s="11" t="s">
        <v>9755</v>
      </c>
      <c r="W24" s="11" t="s">
        <v>9786</v>
      </c>
    </row>
    <row r="25" spans="4:25" x14ac:dyDescent="0.2">
      <c r="D25" s="8" t="s">
        <v>3847</v>
      </c>
      <c r="E25" s="8" t="s">
        <v>9697</v>
      </c>
      <c r="F25" t="s">
        <v>9756</v>
      </c>
      <c r="G25" s="13" t="s">
        <v>9757</v>
      </c>
      <c r="H25" t="s">
        <v>9725</v>
      </c>
      <c r="I25" t="s">
        <v>9722</v>
      </c>
      <c r="J25" t="s">
        <v>9694</v>
      </c>
      <c r="K25" s="10">
        <v>10.69</v>
      </c>
      <c r="L25" s="10">
        <v>7.35</v>
      </c>
      <c r="M25" s="10">
        <v>3.2</v>
      </c>
      <c r="N25" s="10">
        <v>3.52</v>
      </c>
      <c r="O25" s="10">
        <v>7.25</v>
      </c>
      <c r="P25" s="10">
        <v>15.96</v>
      </c>
      <c r="Q25" s="10">
        <f t="shared" si="1"/>
        <v>13.75</v>
      </c>
      <c r="R25" s="10">
        <v>74</v>
      </c>
      <c r="S25" s="10">
        <v>60.25</v>
      </c>
      <c r="T25" s="10">
        <v>72.12</v>
      </c>
      <c r="V25" s="10"/>
      <c r="W25" s="11" t="s">
        <v>9786</v>
      </c>
    </row>
    <row r="26" spans="4:25" x14ac:dyDescent="0.2">
      <c r="D26" s="8" t="s">
        <v>3847</v>
      </c>
      <c r="E26" s="8" t="s">
        <v>9697</v>
      </c>
      <c r="F26" t="s">
        <v>9758</v>
      </c>
      <c r="G26" s="13" t="s">
        <v>9753</v>
      </c>
      <c r="H26" t="s">
        <v>9725</v>
      </c>
      <c r="I26" t="s">
        <v>9722</v>
      </c>
      <c r="J26" t="s">
        <v>9694</v>
      </c>
      <c r="K26" s="10">
        <v>11.67</v>
      </c>
      <c r="L26" s="10">
        <v>7</v>
      </c>
      <c r="M26" s="10">
        <v>3.54</v>
      </c>
      <c r="N26" s="10">
        <v>3.56</v>
      </c>
      <c r="O26" s="10">
        <v>8.6199999999999992</v>
      </c>
      <c r="P26" s="10">
        <v>17.739999999999998</v>
      </c>
      <c r="Q26" s="10">
        <f t="shared" si="1"/>
        <v>10.82</v>
      </c>
      <c r="R26" s="10">
        <v>71</v>
      </c>
      <c r="S26" s="10">
        <v>60.18</v>
      </c>
      <c r="T26" s="10">
        <v>74.92</v>
      </c>
      <c r="V26" s="10"/>
      <c r="W26" s="11" t="s">
        <v>9786</v>
      </c>
    </row>
    <row r="27" spans="4:25" x14ac:dyDescent="0.2">
      <c r="D27" s="8" t="s">
        <v>3847</v>
      </c>
      <c r="E27" s="8" t="s">
        <v>9697</v>
      </c>
      <c r="F27" t="s">
        <v>9759</v>
      </c>
      <c r="G27" s="13" t="s">
        <v>9751</v>
      </c>
      <c r="H27" t="s">
        <v>9725</v>
      </c>
      <c r="I27" t="s">
        <v>9722</v>
      </c>
      <c r="J27" t="s">
        <v>9694</v>
      </c>
      <c r="K27" s="10">
        <v>11.07</v>
      </c>
      <c r="L27" s="10">
        <v>6.6</v>
      </c>
      <c r="M27" s="10">
        <v>2.95</v>
      </c>
      <c r="N27" s="10">
        <v>3.86</v>
      </c>
      <c r="O27" s="10">
        <v>6.62</v>
      </c>
      <c r="P27" s="10">
        <v>14.85</v>
      </c>
      <c r="Q27" s="10">
        <f t="shared" si="1"/>
        <v>11.36</v>
      </c>
      <c r="R27" s="10">
        <v>75</v>
      </c>
      <c r="S27" s="10">
        <v>63.64</v>
      </c>
      <c r="T27" s="10">
        <v>72.84</v>
      </c>
      <c r="W27" s="11" t="s">
        <v>9786</v>
      </c>
    </row>
    <row r="28" spans="4:25" x14ac:dyDescent="0.2">
      <c r="D28" s="8" t="s">
        <v>3847</v>
      </c>
      <c r="E28" s="8" t="s">
        <v>9697</v>
      </c>
      <c r="F28" t="s">
        <v>9760</v>
      </c>
      <c r="G28" s="13" t="s">
        <v>9734</v>
      </c>
      <c r="H28" t="s">
        <v>9725</v>
      </c>
      <c r="I28" t="s">
        <v>9722</v>
      </c>
      <c r="J28" t="s">
        <v>9694</v>
      </c>
      <c r="K28" s="10">
        <v>11.06</v>
      </c>
      <c r="L28" s="10">
        <v>6.82</v>
      </c>
      <c r="M28" s="10">
        <v>2.85</v>
      </c>
      <c r="N28" s="10">
        <v>3.61</v>
      </c>
      <c r="O28" s="10">
        <v>7.34</v>
      </c>
      <c r="P28" s="10">
        <v>16.559999999999999</v>
      </c>
      <c r="Q28" s="10">
        <f t="shared" si="1"/>
        <v>9.019999999999996</v>
      </c>
      <c r="R28" s="10">
        <v>75</v>
      </c>
      <c r="S28" s="10">
        <v>65.98</v>
      </c>
      <c r="T28" s="10">
        <v>81.39</v>
      </c>
      <c r="W28" s="11" t="s">
        <v>9786</v>
      </c>
    </row>
    <row r="29" spans="4:25" x14ac:dyDescent="0.2">
      <c r="D29" s="8" t="s">
        <v>3847</v>
      </c>
      <c r="E29" s="8" t="s">
        <v>9697</v>
      </c>
      <c r="F29" t="s">
        <v>9761</v>
      </c>
      <c r="G29" s="13" t="s">
        <v>9734</v>
      </c>
      <c r="H29" t="s">
        <v>9725</v>
      </c>
      <c r="I29" t="s">
        <v>9722</v>
      </c>
      <c r="J29" t="s">
        <v>9694</v>
      </c>
      <c r="K29" s="10">
        <v>12.2</v>
      </c>
      <c r="L29" s="10">
        <v>7.45</v>
      </c>
      <c r="M29" s="10">
        <v>3.08</v>
      </c>
      <c r="N29" s="10">
        <v>3.82</v>
      </c>
      <c r="O29" s="10">
        <v>7.68</v>
      </c>
      <c r="P29" s="10">
        <v>16</v>
      </c>
      <c r="Q29" s="10">
        <f t="shared" si="1"/>
        <v>11.329999999999998</v>
      </c>
      <c r="R29" s="10">
        <v>76</v>
      </c>
      <c r="S29" s="10">
        <v>64.67</v>
      </c>
      <c r="T29" s="10">
        <v>81.39</v>
      </c>
      <c r="W29" s="11" t="s">
        <v>9786</v>
      </c>
    </row>
    <row r="30" spans="4:25" x14ac:dyDescent="0.2">
      <c r="D30" s="8" t="s">
        <v>9762</v>
      </c>
      <c r="E30" s="8" t="s">
        <v>9697</v>
      </c>
      <c r="F30" t="s">
        <v>9763</v>
      </c>
      <c r="G30" s="13" t="s">
        <v>9764</v>
      </c>
      <c r="H30" t="s">
        <v>9765</v>
      </c>
      <c r="I30" t="s">
        <v>9766</v>
      </c>
      <c r="J30" t="s">
        <v>9694</v>
      </c>
      <c r="K30" s="10">
        <v>26.88</v>
      </c>
      <c r="L30" s="10">
        <v>18.45</v>
      </c>
      <c r="M30" s="10" t="s">
        <v>9787</v>
      </c>
      <c r="N30" s="10">
        <v>7.82</v>
      </c>
      <c r="O30" s="10">
        <v>11.79</v>
      </c>
      <c r="P30" s="10">
        <v>24.57</v>
      </c>
      <c r="Q30" s="10">
        <f t="shared" si="1"/>
        <v>18.159999999999997</v>
      </c>
      <c r="R30" s="10">
        <v>118</v>
      </c>
      <c r="S30" s="10">
        <v>99.84</v>
      </c>
      <c r="T30" s="10">
        <v>122.22</v>
      </c>
      <c r="W30" s="11" t="s">
        <v>9786</v>
      </c>
    </row>
    <row r="31" spans="4:25" x14ac:dyDescent="0.2">
      <c r="D31" s="8" t="s">
        <v>4086</v>
      </c>
      <c r="E31" s="8" t="s">
        <v>9697</v>
      </c>
      <c r="F31" t="s">
        <v>9767</v>
      </c>
      <c r="G31" s="13" t="s">
        <v>9775</v>
      </c>
      <c r="H31" t="s">
        <v>9768</v>
      </c>
      <c r="I31" t="s">
        <v>9769</v>
      </c>
      <c r="J31" t="s">
        <v>9740</v>
      </c>
      <c r="K31" s="10">
        <v>11.51</v>
      </c>
      <c r="L31" s="10">
        <v>7.01</v>
      </c>
      <c r="M31" s="10">
        <v>3.75</v>
      </c>
      <c r="N31" s="10">
        <v>4.68</v>
      </c>
      <c r="O31" s="10">
        <v>8.64</v>
      </c>
      <c r="P31" s="10">
        <v>21.88</v>
      </c>
      <c r="Q31" s="10">
        <f t="shared" si="1"/>
        <v>10.560000000000002</v>
      </c>
      <c r="R31" s="10">
        <v>71</v>
      </c>
      <c r="S31" s="10">
        <v>60.44</v>
      </c>
      <c r="T31" s="10">
        <v>74.08</v>
      </c>
      <c r="W31" s="11" t="s">
        <v>9786</v>
      </c>
    </row>
    <row r="32" spans="4:25" x14ac:dyDescent="0.2">
      <c r="D32" s="8" t="s">
        <v>4086</v>
      </c>
      <c r="E32" s="8" t="s">
        <v>9697</v>
      </c>
      <c r="F32" t="s">
        <v>9770</v>
      </c>
      <c r="G32" s="13" t="s">
        <v>9771</v>
      </c>
      <c r="H32" t="s">
        <v>9772</v>
      </c>
      <c r="I32" t="s">
        <v>9773</v>
      </c>
      <c r="J32" t="s">
        <v>9693</v>
      </c>
      <c r="K32" s="10">
        <v>11.72</v>
      </c>
      <c r="L32" s="10">
        <v>7.42</v>
      </c>
      <c r="M32" s="10">
        <v>3.25</v>
      </c>
      <c r="N32" s="10">
        <v>5.23</v>
      </c>
      <c r="O32" s="10">
        <v>9.06</v>
      </c>
      <c r="P32" s="10">
        <v>23.6</v>
      </c>
      <c r="Q32" s="10">
        <f t="shared" si="1"/>
        <v>6.8199999999999932</v>
      </c>
      <c r="R32" s="10">
        <v>71</v>
      </c>
      <c r="S32" s="10">
        <v>64.180000000000007</v>
      </c>
      <c r="T32" s="10">
        <v>67.760000000000005</v>
      </c>
      <c r="W32" s="11" t="s">
        <v>9786</v>
      </c>
    </row>
    <row r="33" spans="4:23" x14ac:dyDescent="0.2">
      <c r="D33" s="8" t="s">
        <v>4086</v>
      </c>
      <c r="E33" s="8" t="s">
        <v>9697</v>
      </c>
      <c r="F33" t="s">
        <v>9774</v>
      </c>
      <c r="G33" s="13" t="s">
        <v>9775</v>
      </c>
      <c r="H33" t="s">
        <v>9768</v>
      </c>
      <c r="I33" t="s">
        <v>9769</v>
      </c>
      <c r="J33" t="s">
        <v>9740</v>
      </c>
      <c r="K33" s="10" t="s">
        <v>9787</v>
      </c>
      <c r="L33" s="10" t="s">
        <v>9787</v>
      </c>
      <c r="M33" s="10">
        <v>4.1100000000000003</v>
      </c>
      <c r="N33" s="10">
        <v>4.7</v>
      </c>
      <c r="O33" s="10">
        <v>9.81</v>
      </c>
      <c r="P33" s="10">
        <v>22.83</v>
      </c>
      <c r="Q33" s="10">
        <f t="shared" si="1"/>
        <v>7.8800000000000026</v>
      </c>
      <c r="R33" s="10">
        <v>71</v>
      </c>
      <c r="S33" s="10">
        <v>63.12</v>
      </c>
      <c r="T33" s="10">
        <v>68.739999999999995</v>
      </c>
      <c r="W33" s="11" t="s">
        <v>9786</v>
      </c>
    </row>
    <row r="34" spans="4:23" x14ac:dyDescent="0.2">
      <c r="D34" t="s">
        <v>3953</v>
      </c>
      <c r="E34" s="8" t="s">
        <v>9697</v>
      </c>
      <c r="F34" t="s">
        <v>9776</v>
      </c>
      <c r="G34" s="13" t="s">
        <v>9777</v>
      </c>
      <c r="H34" t="s">
        <v>9778</v>
      </c>
      <c r="I34" t="s">
        <v>9779</v>
      </c>
      <c r="J34" t="s">
        <v>9694</v>
      </c>
      <c r="K34" s="10">
        <v>18.02</v>
      </c>
      <c r="L34" s="10">
        <v>11.2</v>
      </c>
      <c r="M34" s="10" t="s">
        <v>9787</v>
      </c>
      <c r="N34" s="10" t="s">
        <v>9787</v>
      </c>
      <c r="O34" s="10">
        <v>12.2</v>
      </c>
      <c r="P34" s="10">
        <v>21.7</v>
      </c>
      <c r="Q34" s="10">
        <f t="shared" si="1"/>
        <v>26.03</v>
      </c>
      <c r="R34" s="10">
        <v>120</v>
      </c>
      <c r="S34" s="10">
        <v>93.97</v>
      </c>
      <c r="T34" s="10">
        <v>104.92</v>
      </c>
      <c r="W34" s="11" t="s">
        <v>9786</v>
      </c>
    </row>
    <row r="35" spans="4:23" x14ac:dyDescent="0.2">
      <c r="D35" t="s">
        <v>3965</v>
      </c>
      <c r="E35" s="8" t="s">
        <v>9697</v>
      </c>
      <c r="F35" t="s">
        <v>9780</v>
      </c>
      <c r="G35" s="13" t="s">
        <v>9781</v>
      </c>
      <c r="H35" t="s">
        <v>9740</v>
      </c>
      <c r="I35" t="s">
        <v>9782</v>
      </c>
      <c r="J35" t="s">
        <v>9693</v>
      </c>
      <c r="K35" s="10">
        <v>20.97</v>
      </c>
      <c r="L35" s="10">
        <v>11.6</v>
      </c>
      <c r="M35" s="10">
        <v>4.45</v>
      </c>
      <c r="N35" s="10">
        <v>6.43</v>
      </c>
      <c r="O35" s="10">
        <v>10.41</v>
      </c>
      <c r="P35" s="10">
        <v>24.07</v>
      </c>
      <c r="Q35" s="10">
        <f t="shared" si="1"/>
        <v>16.61</v>
      </c>
      <c r="R35" s="10">
        <v>107</v>
      </c>
      <c r="S35" s="10">
        <v>90.39</v>
      </c>
      <c r="T35" s="10">
        <v>106.97</v>
      </c>
      <c r="W35" s="11" t="s">
        <v>9786</v>
      </c>
    </row>
    <row r="36" spans="4:23" x14ac:dyDescent="0.2">
      <c r="D36" t="s">
        <v>3965</v>
      </c>
      <c r="E36" s="8" t="s">
        <v>9697</v>
      </c>
      <c r="F36" t="s">
        <v>9784</v>
      </c>
      <c r="G36" s="13" t="s">
        <v>9740</v>
      </c>
      <c r="H36" t="s">
        <v>9740</v>
      </c>
      <c r="I36" t="s">
        <v>9783</v>
      </c>
      <c r="J36" t="s">
        <v>9740</v>
      </c>
      <c r="K36" s="10" t="s">
        <v>9787</v>
      </c>
      <c r="L36" s="10" t="s">
        <v>9787</v>
      </c>
      <c r="M36" s="10">
        <v>4.87</v>
      </c>
      <c r="N36" s="10" t="s">
        <v>9787</v>
      </c>
      <c r="O36" s="10">
        <v>10.82</v>
      </c>
      <c r="P36" s="10">
        <v>22.12</v>
      </c>
      <c r="Q36" s="10">
        <f t="shared" si="1"/>
        <v>20.379999999999995</v>
      </c>
      <c r="R36" s="10">
        <v>110</v>
      </c>
      <c r="S36" s="10">
        <v>89.62</v>
      </c>
      <c r="T36" s="10">
        <v>101.52</v>
      </c>
      <c r="W36" s="11" t="s">
        <v>9786</v>
      </c>
    </row>
    <row r="37" spans="4:23" x14ac:dyDescent="0.2">
      <c r="G37" s="13"/>
    </row>
    <row r="38" spans="4:23" x14ac:dyDescent="0.2">
      <c r="G38" s="13"/>
    </row>
    <row r="39" spans="4:23" x14ac:dyDescent="0.2">
      <c r="G39" s="13"/>
    </row>
    <row r="40" spans="4:23" x14ac:dyDescent="0.2">
      <c r="G40" s="13"/>
    </row>
    <row r="41" spans="4:23" x14ac:dyDescent="0.2">
      <c r="G41" s="13"/>
    </row>
    <row r="42" spans="4:23" x14ac:dyDescent="0.2">
      <c r="G42" s="13"/>
    </row>
    <row r="43" spans="4:23" x14ac:dyDescent="0.2">
      <c r="G43" s="13"/>
    </row>
    <row r="44" spans="4:23" x14ac:dyDescent="0.2">
      <c r="G44" s="13"/>
    </row>
    <row r="45" spans="4:23" x14ac:dyDescent="0.2">
      <c r="G45" s="13"/>
    </row>
    <row r="46" spans="4:23" x14ac:dyDescent="0.2">
      <c r="G46" s="13"/>
    </row>
    <row r="47" spans="4:23" x14ac:dyDescent="0.2">
      <c r="G47" s="13"/>
    </row>
    <row r="48" spans="4:23" x14ac:dyDescent="0.2">
      <c r="G48" s="13"/>
    </row>
    <row r="49" spans="7:7" x14ac:dyDescent="0.2">
      <c r="G49" s="13"/>
    </row>
    <row r="50" spans="7:7" x14ac:dyDescent="0.2">
      <c r="G50" s="13"/>
    </row>
    <row r="51" spans="7:7" x14ac:dyDescent="0.2">
      <c r="G51" s="13"/>
    </row>
    <row r="52" spans="7:7" x14ac:dyDescent="0.2">
      <c r="G52" s="13"/>
    </row>
    <row r="53" spans="7:7" x14ac:dyDescent="0.2">
      <c r="G53" s="13"/>
    </row>
    <row r="54" spans="7:7" x14ac:dyDescent="0.2">
      <c r="G54" s="13"/>
    </row>
    <row r="55" spans="7:7" x14ac:dyDescent="0.2">
      <c r="G55" s="13"/>
    </row>
    <row r="56" spans="7:7" x14ac:dyDescent="0.2">
      <c r="G56" s="13"/>
    </row>
    <row r="57" spans="7:7" x14ac:dyDescent="0.2">
      <c r="G57" s="13"/>
    </row>
    <row r="58" spans="7:7" x14ac:dyDescent="0.2">
      <c r="G58" s="13"/>
    </row>
    <row r="59" spans="7:7" x14ac:dyDescent="0.2">
      <c r="G59" s="13"/>
    </row>
    <row r="60" spans="7:7" x14ac:dyDescent="0.2">
      <c r="G60" s="13"/>
    </row>
    <row r="61" spans="7:7" x14ac:dyDescent="0.2">
      <c r="G61" s="13"/>
    </row>
    <row r="62" spans="7:7" x14ac:dyDescent="0.2">
      <c r="G62" s="13"/>
    </row>
    <row r="63" spans="7:7" x14ac:dyDescent="0.2">
      <c r="G63" s="13"/>
    </row>
    <row r="64" spans="7:7" x14ac:dyDescent="0.2">
      <c r="G64" s="13"/>
    </row>
    <row r="65" spans="7:7" x14ac:dyDescent="0.2">
      <c r="G65" s="13"/>
    </row>
    <row r="66" spans="7:7" x14ac:dyDescent="0.2">
      <c r="G66" s="13"/>
    </row>
    <row r="67" spans="7:7" x14ac:dyDescent="0.2">
      <c r="G67" s="13"/>
    </row>
    <row r="68" spans="7:7" x14ac:dyDescent="0.2">
      <c r="G68" s="13"/>
    </row>
    <row r="69" spans="7:7" x14ac:dyDescent="0.2">
      <c r="G69" s="13"/>
    </row>
    <row r="70" spans="7:7" x14ac:dyDescent="0.2">
      <c r="G70" s="13"/>
    </row>
    <row r="71" spans="7:7" x14ac:dyDescent="0.2">
      <c r="G71" s="13"/>
    </row>
    <row r="72" spans="7:7" x14ac:dyDescent="0.2">
      <c r="G72" s="13"/>
    </row>
    <row r="73" spans="7:7" x14ac:dyDescent="0.2">
      <c r="G73" s="13"/>
    </row>
    <row r="74" spans="7:7" x14ac:dyDescent="0.2">
      <c r="G74" s="13"/>
    </row>
    <row r="75" spans="7:7" x14ac:dyDescent="0.2">
      <c r="G75" s="13"/>
    </row>
    <row r="76" spans="7:7" x14ac:dyDescent="0.2">
      <c r="G76" s="13"/>
    </row>
    <row r="77" spans="7:7" x14ac:dyDescent="0.2">
      <c r="G77" s="13"/>
    </row>
    <row r="78" spans="7:7" x14ac:dyDescent="0.2">
      <c r="G78" s="13"/>
    </row>
    <row r="79" spans="7:7" x14ac:dyDescent="0.2">
      <c r="G79" s="13"/>
    </row>
    <row r="80" spans="7:7" x14ac:dyDescent="0.2">
      <c r="G80" s="13"/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  <row r="910" spans="7:7" x14ac:dyDescent="0.2">
      <c r="G910" s="13"/>
    </row>
    <row r="911" spans="7:7" x14ac:dyDescent="0.2">
      <c r="G911" s="13"/>
    </row>
    <row r="912" spans="7:7" x14ac:dyDescent="0.2">
      <c r="G912" s="13"/>
    </row>
    <row r="913" spans="7:7" x14ac:dyDescent="0.2">
      <c r="G913" s="13"/>
    </row>
    <row r="914" spans="7:7" x14ac:dyDescent="0.2">
      <c r="G914" s="13"/>
    </row>
    <row r="915" spans="7:7" x14ac:dyDescent="0.2">
      <c r="G915" s="13"/>
    </row>
    <row r="916" spans="7:7" x14ac:dyDescent="0.2">
      <c r="G916" s="13"/>
    </row>
    <row r="917" spans="7:7" x14ac:dyDescent="0.2">
      <c r="G917" s="13"/>
    </row>
    <row r="918" spans="7:7" x14ac:dyDescent="0.2">
      <c r="G918" s="13"/>
    </row>
    <row r="919" spans="7:7" x14ac:dyDescent="0.2">
      <c r="G919" s="13"/>
    </row>
    <row r="920" spans="7:7" x14ac:dyDescent="0.2">
      <c r="G920" s="13"/>
    </row>
    <row r="921" spans="7:7" x14ac:dyDescent="0.2">
      <c r="G921" s="13"/>
    </row>
    <row r="922" spans="7:7" x14ac:dyDescent="0.2">
      <c r="G922" s="13"/>
    </row>
    <row r="923" spans="7:7" x14ac:dyDescent="0.2">
      <c r="G923" s="13"/>
    </row>
    <row r="924" spans="7:7" x14ac:dyDescent="0.2">
      <c r="G924" s="13"/>
    </row>
    <row r="925" spans="7:7" x14ac:dyDescent="0.2">
      <c r="G925" s="13"/>
    </row>
    <row r="926" spans="7:7" x14ac:dyDescent="0.2">
      <c r="G926" s="13"/>
    </row>
    <row r="927" spans="7:7" x14ac:dyDescent="0.2">
      <c r="G927" s="13"/>
    </row>
    <row r="928" spans="7:7" x14ac:dyDescent="0.2">
      <c r="G928" s="13"/>
    </row>
    <row r="929" spans="7:7" x14ac:dyDescent="0.2">
      <c r="G929" s="13"/>
    </row>
    <row r="930" spans="7:7" x14ac:dyDescent="0.2">
      <c r="G930" s="13"/>
    </row>
    <row r="931" spans="7:7" x14ac:dyDescent="0.2">
      <c r="G931" s="13"/>
    </row>
    <row r="932" spans="7:7" x14ac:dyDescent="0.2">
      <c r="G932" s="13"/>
    </row>
    <row r="933" spans="7:7" x14ac:dyDescent="0.2">
      <c r="G933" s="13"/>
    </row>
    <row r="934" spans="7:7" x14ac:dyDescent="0.2">
      <c r="G934" s="13"/>
    </row>
    <row r="935" spans="7:7" x14ac:dyDescent="0.2">
      <c r="G935" s="13"/>
    </row>
    <row r="936" spans="7:7" x14ac:dyDescent="0.2">
      <c r="G936" s="13"/>
    </row>
    <row r="937" spans="7:7" x14ac:dyDescent="0.2">
      <c r="G937" s="13"/>
    </row>
    <row r="938" spans="7:7" x14ac:dyDescent="0.2">
      <c r="G938" s="13"/>
    </row>
    <row r="939" spans="7:7" x14ac:dyDescent="0.2">
      <c r="G939" s="13"/>
    </row>
    <row r="940" spans="7:7" x14ac:dyDescent="0.2">
      <c r="G940" s="13"/>
    </row>
    <row r="941" spans="7:7" x14ac:dyDescent="0.2">
      <c r="G941" s="13"/>
    </row>
    <row r="942" spans="7:7" x14ac:dyDescent="0.2">
      <c r="G942" s="13"/>
    </row>
    <row r="943" spans="7:7" x14ac:dyDescent="0.2">
      <c r="G943" s="13"/>
    </row>
    <row r="944" spans="7:7" x14ac:dyDescent="0.2">
      <c r="G944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2026-05-28T21:08:19Z</dcterms:modified>
</cp:coreProperties>
</file>