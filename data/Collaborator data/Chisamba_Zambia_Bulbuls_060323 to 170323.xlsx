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tobias/Dropbox/Teaching and supervising/Imperial teaching/MSc projects/2025-2026/Ekadh Ranganathan/Data/"/>
    </mc:Choice>
  </mc:AlternateContent>
  <xr:revisionPtr revIDLastSave="0" documentId="13_ncr:1_{C4551006-40CD-1645-BAB5-44BFA2C47230}" xr6:coauthVersionLast="47" xr6:coauthVersionMax="47" xr10:uidLastSave="{00000000-0000-0000-0000-000000000000}"/>
  <bookViews>
    <workbookView xWindow="0" yWindow="780" windowWidth="30900" windowHeight="20180" xr2:uid="{67CCE9B1-5DEA-4E5C-9F93-B3B3B2B87793}"/>
  </bookViews>
  <sheets>
    <sheet name="Point count" sheetId="1" r:id="rId1"/>
    <sheet name="Summary" sheetId="2" r:id="rId2"/>
    <sheet name="Outliers" sheetId="3" r:id="rId3"/>
  </sheets>
  <definedNames>
    <definedName name="_xlnm._FilterDatabase" localSheetId="0" hidden="1">'Point count'!$B$1:$AD$25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3" i="2" l="1"/>
</calcChain>
</file>

<file path=xl/sharedStrings.xml><?xml version="1.0" encoding="utf-8"?>
<sst xmlns="http://schemas.openxmlformats.org/spreadsheetml/2006/main" count="529" uniqueCount="214">
  <si>
    <t>Country</t>
  </si>
  <si>
    <t>Locality</t>
  </si>
  <si>
    <t>Site</t>
  </si>
  <si>
    <t>Day</t>
  </si>
  <si>
    <t>Month</t>
  </si>
  <si>
    <t>Year</t>
  </si>
  <si>
    <t>Notes</t>
  </si>
  <si>
    <t>Mist Net Plot #</t>
  </si>
  <si>
    <t>Unique Specimen #</t>
  </si>
  <si>
    <t>Species</t>
  </si>
  <si>
    <t>Age (A/J)</t>
  </si>
  <si>
    <t>Sex (M/F/U)</t>
  </si>
  <si>
    <t>Weight            (g)</t>
  </si>
  <si>
    <t>Obs.</t>
  </si>
  <si>
    <t>Bill Culmen (mm)</t>
  </si>
  <si>
    <t>Bill Nares (mm)</t>
  </si>
  <si>
    <t>Bill Width (mm)</t>
  </si>
  <si>
    <t>Bill Depth (mm)</t>
  </si>
  <si>
    <t>Gape Width (mm)</t>
  </si>
  <si>
    <t>Tarsus Length (mm)</t>
  </si>
  <si>
    <t>Kipp's Distance (mm)</t>
  </si>
  <si>
    <t>Wing Chord (mm)</t>
  </si>
  <si>
    <t>Tail length (mm)</t>
  </si>
  <si>
    <t>Faecal sample</t>
  </si>
  <si>
    <t>Zambia</t>
  </si>
  <si>
    <t>Chisamba</t>
  </si>
  <si>
    <t>SHORT-WINGED CISTICOLA</t>
  </si>
  <si>
    <t>A</t>
  </si>
  <si>
    <t>U</t>
  </si>
  <si>
    <t>-</t>
  </si>
  <si>
    <t>MF</t>
  </si>
  <si>
    <t>Ring Number</t>
  </si>
  <si>
    <t>YELLOW BISHOP</t>
  </si>
  <si>
    <t>TAWNY-FLANKED PRINIA</t>
  </si>
  <si>
    <t>SWAINSON'S SPURFOWL</t>
  </si>
  <si>
    <t>RED-FACED CISTICOLA</t>
  </si>
  <si>
    <t>BROWN-CROWNED TCHAGRA</t>
  </si>
  <si>
    <t>RED-BILLED FIREFINCH</t>
  </si>
  <si>
    <t>F</t>
  </si>
  <si>
    <t>M</t>
  </si>
  <si>
    <t>VSP</t>
  </si>
  <si>
    <t>Y</t>
  </si>
  <si>
    <t>N</t>
  </si>
  <si>
    <t>André Farm 2</t>
  </si>
  <si>
    <t>CHI17</t>
  </si>
  <si>
    <t>CHI26</t>
  </si>
  <si>
    <t>CHI30</t>
  </si>
  <si>
    <t>AFRICAN GOSHAWK</t>
  </si>
  <si>
    <t>BLUE WAXBILL</t>
  </si>
  <si>
    <t>GREEN-WINGED PYTILIA</t>
  </si>
  <si>
    <t>RED-BACKED SHRIKE</t>
  </si>
  <si>
    <t>PETERS'S TWINSPOT</t>
  </si>
  <si>
    <t>TROPICAL BOUBOU</t>
  </si>
  <si>
    <t>EMERALD-SPOTTED WOOD DOVE</t>
  </si>
  <si>
    <t>TERRESTRIAL BROWNBUL</t>
  </si>
  <si>
    <t>BLACK-BACKED PUFFBACK</t>
  </si>
  <si>
    <t>FC40648</t>
  </si>
  <si>
    <t>CHI38</t>
  </si>
  <si>
    <t>CHI40</t>
  </si>
  <si>
    <t>CHI41</t>
  </si>
  <si>
    <t>CHI43</t>
  </si>
  <si>
    <t>CHI50</t>
  </si>
  <si>
    <t>CHI51</t>
  </si>
  <si>
    <t>CHI53</t>
  </si>
  <si>
    <t>SOUTHERN MASKED WEAVER</t>
  </si>
  <si>
    <t>RED-COLLARED WIDOWBIRD</t>
  </si>
  <si>
    <t>DARK-CAPPED BULBUL</t>
  </si>
  <si>
    <t>VARIABLE SUNBIRD</t>
  </si>
  <si>
    <t>WILLOW WARBLER</t>
  </si>
  <si>
    <t>COLLARED SUNBIRD</t>
  </si>
  <si>
    <t>YELLOW-FRONTED CANARY</t>
  </si>
  <si>
    <t>BD29495</t>
  </si>
  <si>
    <t>BD29496</t>
  </si>
  <si>
    <t>FC45004</t>
  </si>
  <si>
    <t>BD29498</t>
  </si>
  <si>
    <t>BD29499</t>
  </si>
  <si>
    <t>MOULTING</t>
  </si>
  <si>
    <t>André Farm 3</t>
  </si>
  <si>
    <t>CHI61</t>
  </si>
  <si>
    <t>CHI62</t>
  </si>
  <si>
    <t>CHI64</t>
  </si>
  <si>
    <t>CHI67</t>
  </si>
  <si>
    <t>CHI69</t>
  </si>
  <si>
    <t>CHI70</t>
  </si>
  <si>
    <t>CHI71</t>
  </si>
  <si>
    <t>CHI72</t>
  </si>
  <si>
    <t>CHI73</t>
  </si>
  <si>
    <t>CHI74</t>
  </si>
  <si>
    <t>CHI75</t>
  </si>
  <si>
    <t>CHI77</t>
  </si>
  <si>
    <t>YELLOW-BELLIED GREENBUL</t>
  </si>
  <si>
    <t>HOLUB'S GOLDEN WEAVER</t>
  </si>
  <si>
    <t>BRONZE MANNIKIN</t>
  </si>
  <si>
    <t>MC</t>
  </si>
  <si>
    <t>CA48664</t>
  </si>
  <si>
    <t>CV00974</t>
  </si>
  <si>
    <t>BF17713</t>
  </si>
  <si>
    <t>BF17714</t>
  </si>
  <si>
    <t>BF17715</t>
  </si>
  <si>
    <t>BF17716</t>
  </si>
  <si>
    <t>BF17717</t>
  </si>
  <si>
    <t>BF17718</t>
  </si>
  <si>
    <t>BF17719</t>
  </si>
  <si>
    <t>BF17720</t>
  </si>
  <si>
    <t>NA (THIS CHI78 WAS ERRORNEOUSLY SKIPPED)</t>
  </si>
  <si>
    <t>CHI95</t>
  </si>
  <si>
    <t>COMMON REED WARBLER</t>
  </si>
  <si>
    <t>WHITE-BROWED ROBIN-CHAT</t>
  </si>
  <si>
    <t>GREAT REED WARBLER</t>
  </si>
  <si>
    <t>COPPER SUNBIRD</t>
  </si>
  <si>
    <t>LESSER HONEYGUIDE</t>
  </si>
  <si>
    <t>BF17725</t>
  </si>
  <si>
    <t>NA (THIS CHI108 WAS ERRORNEOUSLY SKIPPED)</t>
  </si>
  <si>
    <t>André Farm 4</t>
  </si>
  <si>
    <t>PALE FLYCATCHER</t>
  </si>
  <si>
    <t>CHI120</t>
  </si>
  <si>
    <t>CHI133</t>
  </si>
  <si>
    <t>WHITE-BROWED SCRUB ROBIN</t>
  </si>
  <si>
    <t>SPOTTED FLYCATCHER</t>
  </si>
  <si>
    <t>BLACK-CROWNED TCHAGRA</t>
  </si>
  <si>
    <t>LONG-BILLED CROMBEC</t>
  </si>
  <si>
    <t>RATTLING CISTICOLA</t>
  </si>
  <si>
    <t>STRIPED KINGFISHER</t>
  </si>
  <si>
    <t>BLACK-COLLARED BARBET</t>
  </si>
  <si>
    <t>BF17730</t>
  </si>
  <si>
    <t>BF17732</t>
  </si>
  <si>
    <t>CHI142</t>
  </si>
  <si>
    <t>NORTHERN GREY-HEADED SPARROW</t>
  </si>
  <si>
    <t>CHI159</t>
  </si>
  <si>
    <t>SOUTHERN RED BISHOP</t>
  </si>
  <si>
    <t>GARDEN WARBLER</t>
  </si>
  <si>
    <t>CHI191</t>
  </si>
  <si>
    <t>GREY-BACKED CAMAROPTERA</t>
  </si>
  <si>
    <t>CHI194</t>
  </si>
  <si>
    <t>SPECTACLED WEAVER</t>
  </si>
  <si>
    <t>CHI213</t>
  </si>
  <si>
    <t>Hotill Farm 1</t>
  </si>
  <si>
    <t>MXK</t>
  </si>
  <si>
    <t>BF17733</t>
  </si>
  <si>
    <t>LITTLE BEE-EATER</t>
  </si>
  <si>
    <t>CHI245</t>
  </si>
  <si>
    <t>THRUSH NIGHTINGALE</t>
  </si>
  <si>
    <t>MXK: MAX KHOO</t>
  </si>
  <si>
    <t>SEDGE WARBLER</t>
  </si>
  <si>
    <t>ZITTING CISTICOLA</t>
  </si>
  <si>
    <t>RED-CAPPED ROBIN-CHAT</t>
  </si>
  <si>
    <t>JAMESON'S FIREFINCH</t>
  </si>
  <si>
    <t>CHI291</t>
  </si>
  <si>
    <t>CHI307</t>
  </si>
  <si>
    <t>Mkunku Farm 1</t>
  </si>
  <si>
    <t>BF17741</t>
  </si>
  <si>
    <t>CHI312</t>
  </si>
  <si>
    <t>CHI319</t>
  </si>
  <si>
    <t>CHI320</t>
  </si>
  <si>
    <t>CHI329</t>
  </si>
  <si>
    <t>CHI331</t>
  </si>
  <si>
    <t>BF17742</t>
  </si>
  <si>
    <t>BF17743</t>
  </si>
  <si>
    <t>CV00980</t>
  </si>
  <si>
    <t>CHI344</t>
  </si>
  <si>
    <t>PURPLE-BANDED SUNBIRD</t>
  </si>
  <si>
    <t>CHI360</t>
  </si>
  <si>
    <t>CHI365</t>
  </si>
  <si>
    <t>MARSH WARBLER</t>
  </si>
  <si>
    <t>COMMON WAXBILL</t>
  </si>
  <si>
    <t>Faecal sample (Y/N only)</t>
  </si>
  <si>
    <t>Row Labels</t>
  </si>
  <si>
    <t>Grand Total</t>
  </si>
  <si>
    <t>Count of Faecal sample (Y/N only)</t>
  </si>
  <si>
    <t>NA</t>
  </si>
  <si>
    <t>370 birds</t>
  </si>
  <si>
    <t>55 species</t>
  </si>
  <si>
    <t>240 faecal samples</t>
  </si>
  <si>
    <t>Tarsus Length: 8.4</t>
  </si>
  <si>
    <t>Tarsus Length: 10.8</t>
  </si>
  <si>
    <t>Tarsus Length: 9.3</t>
  </si>
  <si>
    <t>Tarsus Length: 11.7</t>
  </si>
  <si>
    <t>Tarsus Length: 13.5</t>
  </si>
  <si>
    <t>Tarsus Length: 7.3</t>
  </si>
  <si>
    <t>Gape width: 4.2</t>
  </si>
  <si>
    <t>Bill depth: 9.7</t>
  </si>
  <si>
    <t>Bill width: 8.2</t>
  </si>
  <si>
    <t>Bill width: 6.8</t>
  </si>
  <si>
    <t>Bill nares: 5.3</t>
  </si>
  <si>
    <t>Bill culmen: 10.2</t>
  </si>
  <si>
    <t>Bill culmen: 19.2</t>
  </si>
  <si>
    <t>Bill culmen: 9.2</t>
  </si>
  <si>
    <t>Weight: 29.3</t>
  </si>
  <si>
    <t>Weight: 28.6</t>
  </si>
  <si>
    <t>Weight: 28</t>
  </si>
  <si>
    <t>Weight: 11.9</t>
  </si>
  <si>
    <t>Weight: 35.4</t>
  </si>
  <si>
    <t>Weight: 38.2</t>
  </si>
  <si>
    <t>Weight: 43.2</t>
  </si>
  <si>
    <t>Outliers (10 Apr 2023)</t>
  </si>
  <si>
    <t>Original</t>
  </si>
  <si>
    <t>Revised</t>
  </si>
  <si>
    <t>??</t>
  </si>
  <si>
    <t>All measurements bigger than AVONET - need to check species</t>
  </si>
  <si>
    <t>Check photo to confirm species</t>
  </si>
  <si>
    <t>No change</t>
  </si>
  <si>
    <t>14.5; 7.3 swapped round</t>
  </si>
  <si>
    <t>Pycnonotus tricolor</t>
  </si>
  <si>
    <t>Phyllastrephus terrestris</t>
  </si>
  <si>
    <t>Chlorocichla flaviventris</t>
  </si>
  <si>
    <t>S/N</t>
  </si>
  <si>
    <t>Ebird_Species</t>
  </si>
  <si>
    <t>PA.Migrant</t>
  </si>
  <si>
    <t>Niche.By.Max</t>
  </si>
  <si>
    <t>No</t>
  </si>
  <si>
    <t>Yes</t>
  </si>
  <si>
    <t>Initials = Mike Ford</t>
  </si>
  <si>
    <t>Moses Chibesa</t>
  </si>
  <si>
    <t>Max Khoo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</si>
</sst>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2" fillId="3" borderId="1" xfId="0" applyFont="1" applyFill="1" applyBorder="1"/>
    <xf numFmtId="0" fontId="2" fillId="0" borderId="0" xfId="0" applyFont="1" applyAlignment="1">
      <alignment horizontal="center"/>
    </xf>
    <xf numFmtId="0" fontId="0" fillId="3" borderId="2" xfId="0" applyFill="1" applyBorder="1"/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0" borderId="4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x Khoo" refreshedDate="44999.880145717594" createdVersion="8" refreshedVersion="8" minRefreshableVersion="3" recordCount="368" xr:uid="{C440FD1B-2B4B-41CB-BAA9-4AE27935A640}">
  <cacheSource type="worksheet">
    <worksheetSource ref="B1:AD25" sheet="Point count"/>
  </cacheSource>
  <cacheFields count="26">
    <cacheField name="Country" numFmtId="0">
      <sharedItems/>
    </cacheField>
    <cacheField name="Locality" numFmtId="0">
      <sharedItems/>
    </cacheField>
    <cacheField name="Site" numFmtId="0">
      <sharedItems/>
    </cacheField>
    <cacheField name="Mist Net Plot #" numFmtId="0">
      <sharedItems containsSemiMixedTypes="0" containsString="0" containsNumber="1" containsInteger="1" minValue="1" maxValue="4"/>
    </cacheField>
    <cacheField name="Day" numFmtId="0">
      <sharedItems containsSemiMixedTypes="0" containsString="0" containsNumber="1" containsInteger="1" minValue="6" maxValue="13"/>
    </cacheField>
    <cacheField name="Month" numFmtId="0">
      <sharedItems containsSemiMixedTypes="0" containsString="0" containsNumber="1" containsInteger="1" minValue="3" maxValue="3"/>
    </cacheField>
    <cacheField name="Year" numFmtId="0">
      <sharedItems containsSemiMixedTypes="0" containsString="0" containsNumber="1" containsInteger="1" minValue="2023" maxValue="2023"/>
    </cacheField>
    <cacheField name="Unique Specimen #" numFmtId="0">
      <sharedItems/>
    </cacheField>
    <cacheField name="Species" numFmtId="0">
      <sharedItems count="55">
        <s v="SHORT-WINGED CISTICOLA"/>
        <s v="YELLOW BISHOP"/>
        <s v="TAWNY-FLANKED PRINIA"/>
        <s v="SWAINSON'S SPURFOWL"/>
        <s v="RED-FACED CISTICOLA"/>
        <s v="BROWN-CROWNED TCHAGRA"/>
        <s v="RED-BILLED FIREFINCH"/>
        <s v="AFRICAN GOSHAWK"/>
        <s v="SPECTACLED WEAVER"/>
        <s v="BLUE WAXBILL"/>
        <s v="GREEN-WINGED PYTILIA"/>
        <s v="RED-BACKED SHRIKE"/>
        <s v="PETERS'S TWINSPOT"/>
        <s v="TROPICAL BOUBOU"/>
        <s v="EMERALD-SPOTTED WOOD DOVE"/>
        <s v="TERRESTRIAL BROWNBUL"/>
        <s v="BLACK-BACKED PUFFBACK"/>
        <s v="WHITE-BROWED ROBIN-CHAT"/>
        <s v="SOUTHERN MASKED WEAVER"/>
        <s v="RED-COLLARED WIDOWBIRD"/>
        <s v="DARK-CAPPED BULBUL"/>
        <s v="VARIABLE SUNBIRD"/>
        <s v="WILLOW WARBLER"/>
        <s v="COLLARED SUNBIRD"/>
        <s v="YELLOW-FRONTED CANARY"/>
        <s v="YELLOW-BELLIED GREENBUL"/>
        <s v="HOLUB'S GOLDEN WEAVER"/>
        <s v="BRONZE MANNIKIN"/>
        <s v="NA (THIS CHI78 WAS ERRORNEOUSLY SKIPPED)"/>
        <s v="COMMON REED WARBLER"/>
        <s v="GREAT REED WARBLER"/>
        <s v="COPPER SUNBIRD"/>
        <s v="LESSER HONEYGUIDE"/>
        <s v="NA (THIS CHI108 WAS ERRORNEOUSLY SKIPPED)"/>
        <s v="PALE FLYCATCHER"/>
        <s v="WHITE-BROWED SCRUB ROBIN"/>
        <s v="SPOTTED FLYCATCHER"/>
        <s v="BLACK-CROWNED TCHAGRA"/>
        <s v="LONG-BILLED CROMBEC"/>
        <s v="RATTLING CISTICOLA"/>
        <s v="STRIPED KINGFISHER"/>
        <s v="BLACK-COLLARED BARBET"/>
        <s v="NORTHERN GREY-HEADED SPARROW"/>
        <s v="SOUTHERN RED BISHOP"/>
        <s v="GARDEN WARBLER"/>
        <s v="GREY-BACKED CAMAROPTERA"/>
        <s v="LITTLE BEE-EATER"/>
        <s v="THRUSH NIGHTINGALE"/>
        <s v="SEDGE WARBLER"/>
        <s v="ZITTING CISTICOLA"/>
        <s v="RED-CAPPED ROBIN-CHAT"/>
        <s v="JAMESON'S FIREFINCH"/>
        <s v="PURPLE-BANDED SUNBIRD"/>
        <s v="MARSH WARBLER"/>
        <s v="COMMON WAXBILL"/>
      </sharedItems>
    </cacheField>
    <cacheField name="Age (A/J)" numFmtId="0">
      <sharedItems containsBlank="1"/>
    </cacheField>
    <cacheField name="Sex (M/F/U)" numFmtId="0">
      <sharedItems containsBlank="1"/>
    </cacheField>
    <cacheField name="Weight            (g)" numFmtId="0">
      <sharedItems containsBlank="1" containsMixedTypes="1" containsNumber="1" minValue="5.4" maxValue="504.7"/>
    </cacheField>
    <cacheField name="Bill Culmen (mm)" numFmtId="0">
      <sharedItems containsBlank="1" containsMixedTypes="1" containsNumber="1" minValue="8.1" maxValue="31.6"/>
    </cacheField>
    <cacheField name="Bill Nares (mm)" numFmtId="0">
      <sharedItems containsBlank="1" containsMixedTypes="1" containsNumber="1" minValue="5.3" maxValue="26.5"/>
    </cacheField>
    <cacheField name="Bill Width (mm)" numFmtId="0">
      <sharedItems containsBlank="1" containsMixedTypes="1" containsNumber="1" minValue="2.1" maxValue="11.3"/>
    </cacheField>
    <cacheField name="Bill Depth (mm)" numFmtId="0">
      <sharedItems containsBlank="1" containsMixedTypes="1" containsNumber="1" minValue="2.1" maxValue="14.9"/>
    </cacheField>
    <cacheField name="Gape Width (mm)" numFmtId="0">
      <sharedItems containsBlank="1" containsMixedTypes="1" containsNumber="1" minValue="3.4" maxValue="22.4"/>
    </cacheField>
    <cacheField name="Tarsus Length (mm)" numFmtId="0">
      <sharedItems containsBlank="1" containsMixedTypes="1" containsNumber="1" minValue="3.2" maxValue="74.2"/>
    </cacheField>
    <cacheField name="Kipp's Distance (mm)" numFmtId="0">
      <sharedItems containsBlank="1" containsMixedTypes="1" containsNumber="1" minValue="1.7" maxValue="65"/>
    </cacheField>
    <cacheField name="Wing Chord (mm)" numFmtId="0">
      <sharedItems containsBlank="1" containsMixedTypes="1" containsNumber="1" containsInteger="1" minValue="35" maxValue="260"/>
    </cacheField>
    <cacheField name="Tail length (mm)" numFmtId="0">
      <sharedItems containsBlank="1" containsMixedTypes="1" containsNumber="1" minValue="20" maxValue="212"/>
    </cacheField>
    <cacheField name="Obs." numFmtId="0">
      <sharedItems containsBlank="1"/>
    </cacheField>
    <cacheField name="Faecal sample" numFmtId="0">
      <sharedItems containsBlank="1"/>
    </cacheField>
    <cacheField name="Faecal sample (Y/N only)" numFmtId="0">
      <sharedItems containsBlank="1" count="3">
        <s v="N"/>
        <s v="Y"/>
        <m/>
      </sharedItems>
    </cacheField>
    <cacheField name="Ring Number" numFmtId="0">
      <sharedItems containsBlank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8">
  <r>
    <s v="Zambia"/>
    <s v="Chisamba"/>
    <s v="André Farm 1"/>
    <n v="1"/>
    <n v="6"/>
    <n v="3"/>
    <n v="2023"/>
    <s v="CHI1"/>
    <x v="0"/>
    <s v="A"/>
    <s v="U"/>
    <n v="11.3"/>
    <n v="12.2"/>
    <n v="8.8000000000000007"/>
    <n v="3"/>
    <n v="3.3"/>
    <n v="7.1"/>
    <n v="22.4"/>
    <s v="-"/>
    <n v="65"/>
    <s v="-"/>
    <s v="MF"/>
    <s v="N"/>
    <x v="0"/>
    <s v="N29811"/>
    <s v="MOULTING (WING AND TAIL)"/>
  </r>
  <r>
    <s v="Zambia"/>
    <s v="Chisamba"/>
    <s v="André Farm 1"/>
    <n v="1"/>
    <n v="6"/>
    <n v="3"/>
    <n v="2023"/>
    <s v="CHI2"/>
    <x v="0"/>
    <s v="A"/>
    <s v="U"/>
    <n v="10.9"/>
    <n v="11.6"/>
    <n v="8.6"/>
    <n v="3.8"/>
    <n v="3"/>
    <n v="7.7"/>
    <n v="22.3"/>
    <s v="-"/>
    <n v="60"/>
    <n v="40"/>
    <s v="MF"/>
    <s v="VSP"/>
    <x v="1"/>
    <s v="N29812"/>
    <s v="MOULTING (WING AND TAIL)"/>
  </r>
  <r>
    <s v="Zambia"/>
    <s v="Chisamba"/>
    <s v="André Farm 1"/>
    <n v="1"/>
    <n v="6"/>
    <n v="3"/>
    <n v="2023"/>
    <s v="CHI3"/>
    <x v="1"/>
    <s v="A"/>
    <s v="F"/>
    <n v="16.600000000000001"/>
    <n v="13.9"/>
    <n v="9"/>
    <n v="5.9"/>
    <n v="7.6"/>
    <n v="9.8000000000000007"/>
    <n v="19.3"/>
    <n v="6.5"/>
    <n v="60"/>
    <n v="44"/>
    <s v="MF"/>
    <s v="N"/>
    <x v="0"/>
    <s v="Y15599"/>
    <m/>
  </r>
  <r>
    <s v="Zambia"/>
    <s v="Chisamba"/>
    <s v="André Farm 1"/>
    <n v="1"/>
    <n v="6"/>
    <n v="3"/>
    <n v="2023"/>
    <s v="CHI4"/>
    <x v="1"/>
    <s v="A"/>
    <s v="M"/>
    <n v="21.1"/>
    <n v="13.9"/>
    <n v="9.1"/>
    <n v="6.8"/>
    <n v="7.8"/>
    <n v="10"/>
    <n v="21.5"/>
    <n v="9"/>
    <n v="73"/>
    <n v="53"/>
    <s v="MF"/>
    <s v="VSP"/>
    <x v="1"/>
    <s v="Y15600"/>
    <m/>
  </r>
  <r>
    <s v="Zambia"/>
    <s v="Chisamba"/>
    <s v="André Farm 1"/>
    <n v="1"/>
    <n v="6"/>
    <n v="3"/>
    <n v="2023"/>
    <s v="CHI5"/>
    <x v="2"/>
    <s v="A"/>
    <s v="U"/>
    <n v="9.1999999999999993"/>
    <n v="11.8"/>
    <n v="7.7"/>
    <n v="3.1"/>
    <n v="3.1"/>
    <n v="7.6"/>
    <n v="21.2"/>
    <n v="7"/>
    <n v="51"/>
    <n v="53"/>
    <s v="MF"/>
    <s v="Y"/>
    <x v="1"/>
    <s v="N29813"/>
    <m/>
  </r>
  <r>
    <s v="Zambia"/>
    <s v="Chisamba"/>
    <s v="André Farm 1"/>
    <n v="1"/>
    <n v="6"/>
    <n v="3"/>
    <n v="2023"/>
    <s v="CHI6"/>
    <x v="2"/>
    <s v="J"/>
    <s v="U"/>
    <n v="9.1999999999999993"/>
    <n v="11.1"/>
    <n v="7.3"/>
    <n v="3.2"/>
    <n v="3.2"/>
    <n v="7.9"/>
    <n v="20.7"/>
    <n v="7.5"/>
    <n v="49"/>
    <n v="57"/>
    <s v="MF"/>
    <s v="Y"/>
    <x v="1"/>
    <s v="N29814"/>
    <m/>
  </r>
  <r>
    <s v="Zambia"/>
    <s v="Chisamba"/>
    <s v="André Farm 1"/>
    <n v="1"/>
    <n v="6"/>
    <n v="3"/>
    <n v="2023"/>
    <s v="CHI7"/>
    <x v="2"/>
    <s v="J"/>
    <s v="U"/>
    <n v="7.9"/>
    <n v="10.9"/>
    <n v="7.2"/>
    <n v="2.8"/>
    <n v="2.8"/>
    <n v="7.4"/>
    <n v="20.100000000000001"/>
    <n v="6"/>
    <n v="47"/>
    <n v="50"/>
    <s v="MF"/>
    <s v="Y"/>
    <x v="1"/>
    <s v="N29815"/>
    <m/>
  </r>
  <r>
    <s v="Zambia"/>
    <s v="Chisamba"/>
    <s v="André Farm 1"/>
    <n v="1"/>
    <n v="6"/>
    <n v="3"/>
    <n v="2023"/>
    <s v="CHI8"/>
    <x v="2"/>
    <s v="A"/>
    <s v="U"/>
    <n v="10"/>
    <n v="12.2"/>
    <n v="8"/>
    <n v="3.1"/>
    <n v="3.1"/>
    <n v="7.7"/>
    <n v="21.2"/>
    <n v="6.3"/>
    <n v="52"/>
    <n v="56"/>
    <s v="MF"/>
    <s v="N"/>
    <x v="0"/>
    <s v="N29816"/>
    <m/>
  </r>
  <r>
    <s v="Zambia"/>
    <s v="Chisamba"/>
    <s v="André Farm 1"/>
    <n v="1"/>
    <n v="6"/>
    <n v="3"/>
    <n v="2023"/>
    <s v="CHI9"/>
    <x v="3"/>
    <s v="A"/>
    <s v="F"/>
    <n v="504.7"/>
    <n v="24.4"/>
    <n v="15.6"/>
    <n v="10.6"/>
    <n v="9.6"/>
    <n v="15.7"/>
    <n v="49"/>
    <n v="30"/>
    <n v="172"/>
    <n v="73"/>
    <s v="MF"/>
    <s v="Y"/>
    <x v="1"/>
    <s v="6-57795"/>
    <m/>
  </r>
  <r>
    <s v="Zambia"/>
    <s v="Chisamba"/>
    <s v="André Farm 1"/>
    <n v="1"/>
    <n v="6"/>
    <n v="3"/>
    <n v="2023"/>
    <s v="CHI10"/>
    <x v="4"/>
    <s v="A"/>
    <s v="F"/>
    <n v="13.7"/>
    <n v="11.8"/>
    <n v="7.6"/>
    <n v="2.8"/>
    <n v="3"/>
    <n v="8"/>
    <n v="22"/>
    <n v="1.7"/>
    <n v="51"/>
    <n v="49"/>
    <s v="MF"/>
    <s v="VSP"/>
    <x v="1"/>
    <s v="AS62248"/>
    <m/>
  </r>
  <r>
    <s v="Zambia"/>
    <s v="Chisamba"/>
    <s v="André Farm 1"/>
    <n v="1"/>
    <n v="6"/>
    <n v="3"/>
    <n v="2023"/>
    <s v="CHI11"/>
    <x v="5"/>
    <s v="A"/>
    <s v="M"/>
    <n v="34.200000000000003"/>
    <n v="16.899999999999999"/>
    <n v="8.9"/>
    <n v="4.3"/>
    <n v="6.4"/>
    <n v="12.2"/>
    <n v="26.8"/>
    <n v="6.4"/>
    <n v="77"/>
    <n v="89"/>
    <s v="MF"/>
    <s v="VSP"/>
    <x v="1"/>
    <s v="CV00971"/>
    <m/>
  </r>
  <r>
    <s v="Zambia"/>
    <s v="Chisamba"/>
    <s v="André Farm 1"/>
    <n v="1"/>
    <n v="6"/>
    <n v="3"/>
    <n v="2023"/>
    <s v="CHI12"/>
    <x v="5"/>
    <s v="A"/>
    <s v="F"/>
    <n v="35.5"/>
    <n v="16.3"/>
    <n v="10.199999999999999"/>
    <n v="4.2"/>
    <n v="6"/>
    <n v="12.8"/>
    <n v="26"/>
    <n v="5.9"/>
    <n v="74"/>
    <n v="89"/>
    <s v="MF"/>
    <s v="VSP"/>
    <x v="1"/>
    <s v="CV00972"/>
    <m/>
  </r>
  <r>
    <s v="Zambia"/>
    <s v="Chisamba"/>
    <s v="André Farm 1"/>
    <n v="1"/>
    <n v="6"/>
    <n v="3"/>
    <n v="2023"/>
    <s v="CHI13"/>
    <x v="6"/>
    <s v="A"/>
    <s v="U"/>
    <n v="7.7"/>
    <n v="8.6999999999999993"/>
    <n v="7"/>
    <n v="4.8"/>
    <n v="4.9000000000000004"/>
    <n v="6.2"/>
    <n v="12.4"/>
    <n v="7"/>
    <n v="49"/>
    <n v="37"/>
    <s v="MF"/>
    <s v="VSP"/>
    <x v="1"/>
    <s v="N29817"/>
    <m/>
  </r>
  <r>
    <s v="Zambia"/>
    <s v="Chisamba"/>
    <s v="André Farm 1"/>
    <n v="1"/>
    <n v="6"/>
    <n v="3"/>
    <n v="2023"/>
    <s v="CHI14"/>
    <x v="1"/>
    <s v="A"/>
    <s v="F"/>
    <n v="17.8"/>
    <n v="13.9"/>
    <n v="8.8000000000000007"/>
    <n v="6.2"/>
    <n v="7.5"/>
    <n v="9.5"/>
    <n v="19.3"/>
    <n v="7.8"/>
    <n v="63"/>
    <n v="46"/>
    <s v="MF"/>
    <s v="Y"/>
    <x v="1"/>
    <s v="Y03434"/>
    <m/>
  </r>
  <r>
    <s v="Zambia"/>
    <s v="Chisamba"/>
    <s v="André Farm 2"/>
    <n v="2"/>
    <n v="7"/>
    <n v="3"/>
    <n v="2023"/>
    <s v="CHI15"/>
    <x v="7"/>
    <s v="A"/>
    <s v="F"/>
    <n v="432"/>
    <n v="18.8"/>
    <n v="15.4"/>
    <n v="10.6"/>
    <n v="14.9"/>
    <n v="22.4"/>
    <n v="74.2"/>
    <n v="65"/>
    <n v="260"/>
    <n v="212"/>
    <s v="MF"/>
    <s v="N"/>
    <x v="0"/>
    <s v="K08663"/>
    <s v="HINDCLAW (20), CERE (8.9)"/>
  </r>
  <r>
    <s v="Zambia"/>
    <s v="Chisamba"/>
    <s v="André Farm 2"/>
    <n v="2"/>
    <n v="7"/>
    <n v="3"/>
    <n v="2023"/>
    <s v="CHI16"/>
    <x v="8"/>
    <s v="A"/>
    <s v="M"/>
    <n v="25.5"/>
    <n v="19.899999999999999"/>
    <n v="13.4"/>
    <n v="5.5"/>
    <n v="6.3"/>
    <n v="11"/>
    <n v="23.5"/>
    <n v="10"/>
    <n v="78"/>
    <n v="63"/>
    <s v="MF"/>
    <s v="N"/>
    <x v="0"/>
    <s v="BD29494"/>
    <m/>
  </r>
  <r>
    <s v="Zambia"/>
    <s v="Chisamba"/>
    <s v="André Farm 2"/>
    <n v="2"/>
    <n v="7"/>
    <n v="3"/>
    <n v="2023"/>
    <s v="CHI17"/>
    <x v="9"/>
    <s v="A"/>
    <s v="U"/>
    <n v="10"/>
    <n v="10.5"/>
    <n v="8.4"/>
    <n v="5.4"/>
    <n v="6.4"/>
    <n v="6.6"/>
    <n v="7.3"/>
    <n v="14.5"/>
    <n v="55"/>
    <n v="55"/>
    <s v="MF"/>
    <s v="N"/>
    <x v="0"/>
    <s v="N29818"/>
    <m/>
  </r>
  <r>
    <s v="Zambia"/>
    <s v="Chisamba"/>
    <s v="André Farm 2"/>
    <n v="2"/>
    <n v="7"/>
    <n v="3"/>
    <n v="2023"/>
    <s v="CHI18"/>
    <x v="10"/>
    <s v="A"/>
    <s v="M"/>
    <n v="14.5"/>
    <n v="13"/>
    <n v="9.4"/>
    <n v="5.6"/>
    <n v="5.8"/>
    <n v="6.8"/>
    <n v="18.8"/>
    <n v="8.8000000000000007"/>
    <n v="59"/>
    <n v="48"/>
    <s v="MF"/>
    <s v="VSP"/>
    <x v="1"/>
    <s v="AS62249"/>
    <m/>
  </r>
  <r>
    <s v="Zambia"/>
    <s v="Chisamba"/>
    <s v="André Farm 2"/>
    <n v="2"/>
    <n v="7"/>
    <n v="3"/>
    <n v="2023"/>
    <s v="CHI19"/>
    <x v="9"/>
    <s v="A"/>
    <s v="M"/>
    <n v="9.5"/>
    <n v="10"/>
    <n v="7.9"/>
    <n v="5.7"/>
    <n v="5.8"/>
    <n v="6.7"/>
    <n v="14"/>
    <n v="7.1"/>
    <n v="54"/>
    <n v="56"/>
    <s v="MF"/>
    <s v="N"/>
    <x v="0"/>
    <s v="N29819"/>
    <m/>
  </r>
  <r>
    <s v="Zambia"/>
    <s v="Chisamba"/>
    <s v="André Farm 2"/>
    <n v="2"/>
    <n v="7"/>
    <n v="3"/>
    <n v="2023"/>
    <s v="CHI20"/>
    <x v="11"/>
    <s v="J"/>
    <s v="M"/>
    <n v="25.5"/>
    <n v="14.1"/>
    <n v="11.1"/>
    <n v="5.8"/>
    <n v="7.1"/>
    <n v="13"/>
    <n v="23.4"/>
    <n v="30.3"/>
    <n v="95"/>
    <n v="75"/>
    <s v="MF"/>
    <s v="VSP"/>
    <x v="1"/>
    <s v="FC40647"/>
    <m/>
  </r>
  <r>
    <s v="Zambia"/>
    <s v="Chisamba"/>
    <s v="André Farm 2"/>
    <n v="2"/>
    <n v="7"/>
    <n v="3"/>
    <n v="2023"/>
    <s v="CHI21"/>
    <x v="12"/>
    <s v="A"/>
    <s v="M"/>
    <n v="16.600000000000001"/>
    <n v="12.5"/>
    <n v="9.1999999999999993"/>
    <n v="5.7"/>
    <n v="6.2"/>
    <n v="7.8"/>
    <n v="17.3"/>
    <n v="4.3"/>
    <n v="58"/>
    <n v="54"/>
    <s v="MF"/>
    <s v="VSP"/>
    <x v="1"/>
    <s v="Y03435"/>
    <m/>
  </r>
  <r>
    <s v="Zambia"/>
    <s v="Chisamba"/>
    <s v="André Farm 2"/>
    <n v="2"/>
    <n v="7"/>
    <n v="3"/>
    <n v="2023"/>
    <s v="CHI22"/>
    <x v="2"/>
    <s v="A"/>
    <s v="U"/>
    <n v="7.9"/>
    <n v="11.4"/>
    <n v="7.7"/>
    <n v="3.4"/>
    <n v="3.4"/>
    <n v="8.1999999999999993"/>
    <n v="19.3"/>
    <n v="5.4"/>
    <n v="47"/>
    <n v="48"/>
    <s v="MF"/>
    <s v="Y"/>
    <x v="1"/>
    <s v="N29820"/>
    <m/>
  </r>
  <r>
    <s v="Zambia"/>
    <s v="Chisamba"/>
    <s v="André Farm 2"/>
    <n v="2"/>
    <n v="7"/>
    <n v="3"/>
    <n v="2023"/>
    <s v="CHI23"/>
    <x v="13"/>
    <s v="A"/>
    <s v="U"/>
    <n v="45.3"/>
    <n v="23.3"/>
    <n v="13.3"/>
    <n v="5.3"/>
    <n v="6.9"/>
    <n v="12.3"/>
    <n v="33"/>
    <n v="6.8"/>
    <n v="94"/>
    <n v="95"/>
    <s v="MF"/>
    <s v="VSP"/>
    <x v="1"/>
    <s v="CA48662"/>
    <m/>
  </r>
  <r>
    <s v="Zambia"/>
    <s v="Chisamba"/>
    <s v="André Farm 2"/>
    <n v="2"/>
    <n v="7"/>
    <n v="3"/>
    <n v="2023"/>
    <s v="CHI24"/>
    <x v="13"/>
    <s v="A"/>
    <s v="U"/>
    <n v="52.4"/>
    <n v="22.6"/>
    <n v="13.6"/>
    <n v="5.4"/>
    <n v="7.7"/>
    <n v="14.4"/>
    <n v="34.299999999999997"/>
    <n v="10"/>
    <n v="96"/>
    <n v="102"/>
    <s v="MF"/>
    <s v="N"/>
    <x v="0"/>
    <s v="CA48663"/>
    <m/>
  </r>
  <r>
    <s v="Zambia"/>
    <s v="Chisamba"/>
    <s v="André Farm 2"/>
    <n v="2"/>
    <n v="7"/>
    <n v="3"/>
    <n v="2023"/>
    <s v="CHI25"/>
    <x v="12"/>
    <s v="A"/>
    <s v="M"/>
    <n v="16.600000000000001"/>
    <n v="12"/>
    <n v="9.1999999999999993"/>
    <n v="5.9"/>
    <n v="6.9"/>
    <n v="7.5"/>
    <n v="18.100000000000001"/>
    <n v="3.4"/>
    <n v="61"/>
    <n v="56"/>
    <s v="MF"/>
    <s v="VSP"/>
    <x v="1"/>
    <s v="AS62250"/>
    <m/>
  </r>
  <r>
    <s v="Zambia"/>
    <s v="Chisamba"/>
    <s v="André Farm 2"/>
    <n v="2"/>
    <n v="7"/>
    <n v="3"/>
    <n v="2023"/>
    <s v="CHI26"/>
    <x v="12"/>
    <s v="A"/>
    <s v="F"/>
    <n v="11.9"/>
    <n v="12"/>
    <n v="9.3000000000000007"/>
    <n v="5.7"/>
    <n v="6.8"/>
    <n v="8"/>
    <n v="17.899999999999999"/>
    <n v="2.8"/>
    <n v="58"/>
    <n v="52"/>
    <s v="MF"/>
    <s v="Y"/>
    <x v="1"/>
    <s v="AS62251"/>
    <m/>
  </r>
  <r>
    <s v="Zambia"/>
    <s v="Chisamba"/>
    <s v="André Farm 2"/>
    <n v="2"/>
    <n v="7"/>
    <n v="3"/>
    <n v="2023"/>
    <s v="CHI27"/>
    <x v="9"/>
    <s v="A"/>
    <s v="F"/>
    <n v="11.9"/>
    <n v="9.1"/>
    <n v="7.6"/>
    <n v="5.6"/>
    <n v="5.5"/>
    <n v="7.3"/>
    <n v="14.8"/>
    <n v="7.6"/>
    <n v="51"/>
    <n v="48"/>
    <s v="MF"/>
    <s v="N"/>
    <x v="0"/>
    <s v="N29821"/>
    <m/>
  </r>
  <r>
    <s v="Zambia"/>
    <s v="Chisamba"/>
    <s v="André Farm 2"/>
    <n v="2"/>
    <n v="7"/>
    <n v="3"/>
    <n v="2023"/>
    <s v="CHI28"/>
    <x v="14"/>
    <s v="A"/>
    <s v="U"/>
    <n v="60.9"/>
    <n v="14.8"/>
    <n v="7.5"/>
    <n v="2.6"/>
    <n v="3.2"/>
    <n v="8.1"/>
    <n v="19.7"/>
    <n v="26.8"/>
    <n v="111"/>
    <n v="83"/>
    <s v="MF"/>
    <s v="Y"/>
    <x v="1"/>
    <s v="4A07800"/>
    <m/>
  </r>
  <r>
    <s v="Zambia"/>
    <s v="Chisamba"/>
    <s v="André Farm 2"/>
    <n v="2"/>
    <n v="7"/>
    <n v="3"/>
    <n v="2023"/>
    <s v="CHI29"/>
    <x v="12"/>
    <s v="A"/>
    <s v="F"/>
    <n v="16.7"/>
    <n v="13"/>
    <n v="8.8000000000000007"/>
    <n v="5.8"/>
    <n v="6.5"/>
    <n v="8.9"/>
    <n v="17.5"/>
    <n v="3"/>
    <n v="60"/>
    <n v="53"/>
    <s v="MF"/>
    <s v="Y"/>
    <x v="1"/>
    <s v="AS62252"/>
    <m/>
  </r>
  <r>
    <s v="Zambia"/>
    <s v="Chisamba"/>
    <s v="André Farm 2"/>
    <n v="2"/>
    <n v="7"/>
    <n v="3"/>
    <n v="2023"/>
    <s v="CHI30"/>
    <x v="15"/>
    <s v="A"/>
    <s v="U"/>
    <n v="25.3"/>
    <n v="15.7"/>
    <n v="11.4"/>
    <n v="4.0999999999999996"/>
    <n v="4.7"/>
    <n v="9.6999999999999993"/>
    <n v="23"/>
    <n v="8.3000000000000007"/>
    <n v="79"/>
    <n v="83"/>
    <s v="MF"/>
    <s v="Y"/>
    <x v="1"/>
    <s v="FC40648"/>
    <m/>
  </r>
  <r>
    <s v="Zambia"/>
    <s v="Chisamba"/>
    <s v="André Farm 2"/>
    <n v="2"/>
    <n v="7"/>
    <n v="3"/>
    <n v="2023"/>
    <s v="CHI31"/>
    <x v="16"/>
    <s v="A"/>
    <s v="M"/>
    <n v="26.4"/>
    <n v="16.3"/>
    <n v="11.5"/>
    <n v="5.8"/>
    <n v="6.3"/>
    <n v="12.4"/>
    <n v="22.2"/>
    <n v="8.3000000000000007"/>
    <n v="85"/>
    <n v="69"/>
    <s v="MF"/>
    <s v="Y"/>
    <x v="1"/>
    <s v="FC40649"/>
    <m/>
  </r>
  <r>
    <s v="Zambia"/>
    <s v="Chisamba"/>
    <s v="André Farm 2"/>
    <n v="2"/>
    <n v="7"/>
    <n v="3"/>
    <n v="2023"/>
    <s v="CHI32"/>
    <x v="4"/>
    <s v="A"/>
    <s v="F"/>
    <n v="11.7"/>
    <n v="11.4"/>
    <n v="8.6999999999999993"/>
    <n v="2.7"/>
    <n v="3.2"/>
    <n v="8.6"/>
    <n v="20.8"/>
    <n v="3"/>
    <n v="48"/>
    <n v="47"/>
    <s v="MF"/>
    <s v="Y"/>
    <x v="1"/>
    <s v="AS62253"/>
    <m/>
  </r>
  <r>
    <s v="Zambia"/>
    <s v="Chisamba"/>
    <s v="André Farm 2"/>
    <n v="2"/>
    <n v="7"/>
    <n v="3"/>
    <n v="2023"/>
    <s v="CHI33"/>
    <x v="12"/>
    <s v="A"/>
    <s v="F"/>
    <n v="15.4"/>
    <n v="12"/>
    <n v="9.1"/>
    <n v="5.7"/>
    <n v="6.6"/>
    <n v="7.6"/>
    <n v="17.5"/>
    <n v="2.4"/>
    <n v="58"/>
    <n v="55"/>
    <s v="MF"/>
    <s v="Y"/>
    <x v="1"/>
    <s v="AS62254"/>
    <m/>
  </r>
  <r>
    <s v="Zambia"/>
    <s v="Chisamba"/>
    <s v="André Farm 2"/>
    <n v="2"/>
    <n v="7"/>
    <n v="3"/>
    <n v="2023"/>
    <s v="CHI34"/>
    <x v="12"/>
    <s v="A"/>
    <s v="M"/>
    <n v="15.8"/>
    <n v="12.4"/>
    <n v="9.1999999999999993"/>
    <n v="5.8"/>
    <n v="6.4"/>
    <n v="7.8"/>
    <n v="18.2"/>
    <n v="3"/>
    <n v="58"/>
    <n v="56"/>
    <s v="MF"/>
    <s v="Y"/>
    <x v="1"/>
    <s v="AS62255"/>
    <m/>
  </r>
  <r>
    <s v="Zambia"/>
    <s v="Chisamba"/>
    <s v="André Farm 2"/>
    <n v="2"/>
    <n v="7"/>
    <n v="3"/>
    <n v="2023"/>
    <s v="CHI35"/>
    <x v="17"/>
    <s v="A"/>
    <s v="M"/>
    <n v="40.200000000000003"/>
    <n v="15.5"/>
    <n v="11"/>
    <n v="3.8"/>
    <n v="4.5"/>
    <n v="12.3"/>
    <n v="30"/>
    <n v="9.8000000000000007"/>
    <n v="95"/>
    <n v="92"/>
    <s v="MF"/>
    <s v="Y"/>
    <x v="1"/>
    <s v="CV00973"/>
    <m/>
  </r>
  <r>
    <s v="Zambia"/>
    <s v="Chisamba"/>
    <s v="André Farm 3"/>
    <n v="3"/>
    <n v="8"/>
    <n v="3"/>
    <n v="2023"/>
    <s v="CHI36"/>
    <x v="18"/>
    <s v="A"/>
    <s v="M"/>
    <n v="29.2"/>
    <n v="16.3"/>
    <n v="11.6"/>
    <n v="5.7"/>
    <n v="7.5"/>
    <n v="10"/>
    <n v="22.4"/>
    <n v="10.4"/>
    <n v="77"/>
    <n v="51"/>
    <s v="MF"/>
    <s v="N"/>
    <x v="0"/>
    <s v="FC40650"/>
    <m/>
  </r>
  <r>
    <s v="Zambia"/>
    <s v="Chisamba"/>
    <s v="André Farm 3"/>
    <n v="3"/>
    <n v="8"/>
    <n v="3"/>
    <n v="2023"/>
    <s v="CHI37"/>
    <x v="19"/>
    <s v="A"/>
    <s v="F"/>
    <n v="14.3"/>
    <n v="14.1"/>
    <n v="8.6999999999999993"/>
    <n v="5.4"/>
    <n v="6.8"/>
    <n v="8.8000000000000007"/>
    <n v="18"/>
    <n v="10.8"/>
    <n v="60"/>
    <n v="34"/>
    <s v="MF"/>
    <s v="VSP"/>
    <x v="1"/>
    <s v="Y03436"/>
    <s v="FAECAL SAMPLE COLLECTED ON 10/3/23 WHEN RECAPTURED"/>
  </r>
  <r>
    <s v="Zambia"/>
    <s v="Chisamba"/>
    <s v="André Farm 3"/>
    <n v="3"/>
    <n v="8"/>
    <n v="3"/>
    <n v="2023"/>
    <s v="CHI38"/>
    <x v="20"/>
    <s v="A"/>
    <s v="U"/>
    <n v="43.2"/>
    <n v="15.5"/>
    <n v="10"/>
    <n v="5"/>
    <n v="5.7"/>
    <n v="10.8"/>
    <n v="23.3"/>
    <n v="11"/>
    <n v="93"/>
    <n v="82"/>
    <s v="MF"/>
    <s v="VSP"/>
    <x v="1"/>
    <s v="BD29495"/>
    <m/>
  </r>
  <r>
    <s v="Zambia"/>
    <s v="Chisamba"/>
    <s v="André Farm 3"/>
    <n v="3"/>
    <n v="8"/>
    <n v="3"/>
    <n v="2023"/>
    <s v="CHI39"/>
    <x v="18"/>
    <s v="A"/>
    <s v="M"/>
    <n v="24.6"/>
    <n v="15.4"/>
    <n v="11.1"/>
    <n v="6.2"/>
    <n v="7.2"/>
    <n v="10"/>
    <n v="21"/>
    <n v="12"/>
    <n v="76"/>
    <n v="50"/>
    <s v="MF"/>
    <s v="Y"/>
    <x v="1"/>
    <s v="FC45003"/>
    <m/>
  </r>
  <r>
    <s v="Zambia"/>
    <s v="Chisamba"/>
    <s v="André Farm 3"/>
    <n v="3"/>
    <n v="8"/>
    <n v="3"/>
    <n v="2023"/>
    <s v="CHI40"/>
    <x v="15"/>
    <s v="A"/>
    <s v="M"/>
    <n v="34.6"/>
    <n v="19.2"/>
    <n v="14.4"/>
    <n v="4.2"/>
    <n v="5.4"/>
    <n v="12.1"/>
    <n v="23.9"/>
    <n v="9.3000000000000007"/>
    <n v="91"/>
    <n v="94"/>
    <s v="MF"/>
    <s v="N"/>
    <x v="0"/>
    <s v="BD29496"/>
    <m/>
  </r>
  <r>
    <s v="Zambia"/>
    <s v="Chisamba"/>
    <s v="André Farm 3"/>
    <n v="3"/>
    <n v="8"/>
    <n v="3"/>
    <n v="2023"/>
    <s v="CHI41"/>
    <x v="15"/>
    <s v="A"/>
    <s v="F"/>
    <n v="27.6"/>
    <n v="16.399999999999999"/>
    <n v="11"/>
    <n v="3.8"/>
    <n v="4.5999999999999996"/>
    <n v="10.4"/>
    <n v="23.8"/>
    <n v="8.8000000000000007"/>
    <n v="84"/>
    <n v="89"/>
    <s v="MF"/>
    <s v="Y"/>
    <x v="1"/>
    <s v="FC45004"/>
    <m/>
  </r>
  <r>
    <s v="Zambia"/>
    <s v="Chisamba"/>
    <s v="André Farm 3"/>
    <n v="3"/>
    <n v="8"/>
    <n v="3"/>
    <n v="2023"/>
    <s v="CHI42"/>
    <x v="18"/>
    <s v="A"/>
    <s v="M"/>
    <n v="23.1"/>
    <n v="16.100000000000001"/>
    <n v="10.3"/>
    <n v="6"/>
    <n v="7.7"/>
    <n v="9.6999999999999993"/>
    <n v="21.6"/>
    <n v="12.8"/>
    <n v="77"/>
    <n v="50"/>
    <s v="MF"/>
    <s v="N"/>
    <x v="0"/>
    <s v="BD29497"/>
    <m/>
  </r>
  <r>
    <s v="Zambia"/>
    <s v="Chisamba"/>
    <s v="André Farm 3"/>
    <n v="3"/>
    <n v="8"/>
    <n v="3"/>
    <n v="2023"/>
    <s v="CHI43"/>
    <x v="18"/>
    <s v="A"/>
    <s v="F"/>
    <n v="18.8"/>
    <n v="14.4"/>
    <n v="10.199999999999999"/>
    <n v="6.2"/>
    <n v="6.6"/>
    <n v="10"/>
    <n v="9.3000000000000007"/>
    <n v="15.7"/>
    <n v="70"/>
    <n v="47"/>
    <s v="MF"/>
    <s v="N"/>
    <x v="0"/>
    <s v="FC45005"/>
    <m/>
  </r>
  <r>
    <s v="Zambia"/>
    <s v="Chisamba"/>
    <s v="André Farm 3"/>
    <n v="3"/>
    <n v="8"/>
    <n v="3"/>
    <n v="2023"/>
    <s v="CHI44"/>
    <x v="1"/>
    <s v="A"/>
    <s v="F"/>
    <n v="19.5"/>
    <n v="14.4"/>
    <n v="9.5"/>
    <n v="6.7"/>
    <n v="8"/>
    <n v="9.8000000000000007"/>
    <n v="21.2"/>
    <n v="7.8"/>
    <n v="65"/>
    <n v="48"/>
    <s v="MF"/>
    <s v="VSP"/>
    <x v="1"/>
    <s v="Y03437"/>
    <m/>
  </r>
  <r>
    <s v="Zambia"/>
    <s v="Chisamba"/>
    <s v="André Farm 3"/>
    <n v="3"/>
    <n v="8"/>
    <n v="3"/>
    <n v="2023"/>
    <s v="CHI45"/>
    <x v="2"/>
    <s v="A"/>
    <s v="U"/>
    <n v="10.4"/>
    <n v="10.5"/>
    <n v="7.5"/>
    <n v="3.2"/>
    <n v="3.2"/>
    <n v="8.9"/>
    <n v="20.8"/>
    <n v="5.3"/>
    <n v="48"/>
    <n v="51"/>
    <s v="MF"/>
    <s v="N"/>
    <x v="0"/>
    <s v="N29822"/>
    <m/>
  </r>
  <r>
    <s v="Zambia"/>
    <s v="Chisamba"/>
    <s v="André Farm 3"/>
    <n v="3"/>
    <n v="8"/>
    <n v="3"/>
    <n v="2023"/>
    <s v="CHI46"/>
    <x v="1"/>
    <s v="A"/>
    <s v="F"/>
    <n v="16"/>
    <n v="13.3"/>
    <n v="9.4"/>
    <n v="6.4"/>
    <n v="7.2"/>
    <n v="9.3000000000000007"/>
    <n v="19.5"/>
    <n v="8.5"/>
    <n v="64"/>
    <n v="45"/>
    <s v="MF"/>
    <s v="N"/>
    <x v="0"/>
    <s v="Y03438"/>
    <m/>
  </r>
  <r>
    <s v="Zambia"/>
    <s v="Chisamba"/>
    <s v="André Farm 3"/>
    <n v="3"/>
    <n v="8"/>
    <n v="3"/>
    <n v="2023"/>
    <s v="CHI47"/>
    <x v="11"/>
    <s v="A"/>
    <s v="F"/>
    <n v="26.8"/>
    <n v="13.6"/>
    <n v="10.6"/>
    <n v="5.4"/>
    <n v="6.8"/>
    <n v="13.4"/>
    <n v="23.7"/>
    <s v="-"/>
    <n v="97"/>
    <s v="-"/>
    <s v="MF"/>
    <s v="VSP"/>
    <x v="1"/>
    <s v="FC45006"/>
    <s v="MOULTING HEAVILY"/>
  </r>
  <r>
    <s v="Zambia"/>
    <s v="Chisamba"/>
    <s v="André Farm 3"/>
    <n v="3"/>
    <n v="8"/>
    <n v="3"/>
    <n v="2023"/>
    <s v="CHI48"/>
    <x v="21"/>
    <s v="A"/>
    <s v="M"/>
    <n v="6.3"/>
    <n v="17.3"/>
    <n v="14"/>
    <n v="3.1"/>
    <n v="2.7"/>
    <n v="5.0999999999999996"/>
    <n v="15.4"/>
    <n v="6.3"/>
    <n v="54"/>
    <n v="38"/>
    <s v="MF"/>
    <s v="VSP"/>
    <x v="1"/>
    <s v="N29823"/>
    <m/>
  </r>
  <r>
    <s v="Zambia"/>
    <s v="Chisamba"/>
    <s v="André Farm 3"/>
    <n v="3"/>
    <n v="8"/>
    <n v="3"/>
    <n v="2023"/>
    <s v="CHI49"/>
    <x v="6"/>
    <s v="J"/>
    <s v="F"/>
    <n v="9.1999999999999993"/>
    <n v="9.6"/>
    <n v="6.9"/>
    <n v="4.2"/>
    <n v="4.3"/>
    <n v="5.3"/>
    <n v="12.3"/>
    <n v="7"/>
    <n v="49"/>
    <n v="36"/>
    <s v="MF"/>
    <s v="VSP"/>
    <x v="1"/>
    <s v="N29824"/>
    <m/>
  </r>
  <r>
    <s v="Zambia"/>
    <s v="Chisamba"/>
    <s v="André Farm 3"/>
    <n v="3"/>
    <n v="8"/>
    <n v="3"/>
    <n v="2023"/>
    <s v="CHI50"/>
    <x v="20"/>
    <s v="A"/>
    <s v="U"/>
    <n v="36.200000000000003"/>
    <n v="17.7"/>
    <n v="11"/>
    <n v="5.2"/>
    <n v="5.4"/>
    <n v="4.2"/>
    <n v="22.4"/>
    <s v="-"/>
    <n v="97"/>
    <n v="87"/>
    <s v="MF"/>
    <s v="N"/>
    <x v="0"/>
    <s v="BD29498"/>
    <s v="MOULTING"/>
  </r>
  <r>
    <s v="Zambia"/>
    <s v="Chisamba"/>
    <s v="André Farm 3"/>
    <n v="3"/>
    <n v="8"/>
    <n v="3"/>
    <n v="2023"/>
    <s v="CHI51"/>
    <x v="15"/>
    <s v="A"/>
    <s v="U"/>
    <n v="32.200000000000003"/>
    <n v="16.399999999999999"/>
    <n v="12"/>
    <n v="4"/>
    <n v="4.7"/>
    <n v="11.9"/>
    <n v="23.5"/>
    <s v="-"/>
    <n v="84"/>
    <n v="86"/>
    <s v="MF"/>
    <s v="N"/>
    <x v="0"/>
    <s v="BD29499"/>
    <s v="MOULTING"/>
  </r>
  <r>
    <s v="Zambia"/>
    <s v="Chisamba"/>
    <s v="André Farm 3"/>
    <n v="3"/>
    <n v="8"/>
    <n v="3"/>
    <n v="2023"/>
    <s v="CHI52"/>
    <x v="22"/>
    <s v="A"/>
    <s v="-"/>
    <s v="-"/>
    <s v="-"/>
    <s v="-"/>
    <s v="-"/>
    <s v="-"/>
    <s v="-"/>
    <s v="-"/>
    <s v="-"/>
    <s v="-"/>
    <s v="-"/>
    <s v="MF"/>
    <s v="Y"/>
    <x v="1"/>
    <s v="-"/>
    <s v="BIRD ESCAPED, BUT FAECAL SAMPLE COLLECTED"/>
  </r>
  <r>
    <s v="Zambia"/>
    <s v="Chisamba"/>
    <s v="André Farm 3"/>
    <n v="3"/>
    <n v="8"/>
    <n v="3"/>
    <n v="2023"/>
    <s v="CHI53"/>
    <x v="18"/>
    <s v="A"/>
    <s v="M"/>
    <n v="23"/>
    <n v="16.8"/>
    <n v="11.7"/>
    <n v="5.9"/>
    <n v="9.9"/>
    <n v="9.9"/>
    <n v="11.7"/>
    <n v="13.2"/>
    <n v="76"/>
    <n v="50"/>
    <s v="MF"/>
    <s v="Y"/>
    <x v="1"/>
    <s v="BD29500"/>
    <m/>
  </r>
  <r>
    <s v="Zambia"/>
    <s v="Chisamba"/>
    <s v="André Farm 3"/>
    <n v="3"/>
    <n v="8"/>
    <n v="3"/>
    <n v="2023"/>
    <s v="CHI54"/>
    <x v="21"/>
    <s v="A"/>
    <s v="F"/>
    <n v="8.6"/>
    <n v="17"/>
    <n v="15"/>
    <n v="3.6"/>
    <n v="5.8"/>
    <n v="5.8"/>
    <n v="15.5"/>
    <n v="11.4"/>
    <n v="60"/>
    <n v="41"/>
    <s v="MF"/>
    <s v="N"/>
    <x v="0"/>
    <s v="N29825"/>
    <m/>
  </r>
  <r>
    <s v="Zambia"/>
    <s v="Chisamba"/>
    <s v="André Farm 3"/>
    <n v="3"/>
    <n v="8"/>
    <n v="3"/>
    <n v="2023"/>
    <s v="CHI55"/>
    <x v="23"/>
    <s v="A"/>
    <s v="F"/>
    <n v="5.4"/>
    <n v="16.100000000000001"/>
    <n v="13.7"/>
    <n v="2.7"/>
    <n v="6.5"/>
    <n v="6.5"/>
    <n v="15.5"/>
    <s v="-"/>
    <n v="51"/>
    <n v="34"/>
    <s v="MF"/>
    <s v="N"/>
    <x v="0"/>
    <s v="N29826"/>
    <s v="MOULTING"/>
  </r>
  <r>
    <s v="Zambia"/>
    <s v="Chisamba"/>
    <s v="André Farm 3"/>
    <n v="3"/>
    <n v="8"/>
    <n v="3"/>
    <n v="2023"/>
    <s v="CHI56"/>
    <x v="24"/>
    <s v="A"/>
    <s v="U"/>
    <n v="11.2"/>
    <n v="8.8000000000000007"/>
    <n v="8"/>
    <n v="5"/>
    <n v="7.7"/>
    <n v="7.7"/>
    <n v="14"/>
    <n v="10"/>
    <n v="70"/>
    <n v="44"/>
    <s v="MF"/>
    <s v="N"/>
    <x v="0"/>
    <s v="AS62256"/>
    <m/>
  </r>
  <r>
    <s v="Zambia"/>
    <s v="Chisamba"/>
    <s v="André Farm 3"/>
    <n v="3"/>
    <n v="8"/>
    <n v="3"/>
    <n v="2023"/>
    <s v="CHI57"/>
    <x v="18"/>
    <s v="A"/>
    <s v="F"/>
    <n v="19.5"/>
    <n v="12.2"/>
    <n v="8.1"/>
    <n v="7.4"/>
    <n v="7.4"/>
    <n v="9.3000000000000007"/>
    <n v="22.1"/>
    <n v="13"/>
    <n v="69"/>
    <n v="45"/>
    <s v="MC"/>
    <s v="VSP"/>
    <x v="1"/>
    <s v="FC45007"/>
    <m/>
  </r>
  <r>
    <s v="Zambia"/>
    <s v="Chisamba"/>
    <s v="André Farm 3"/>
    <n v="3"/>
    <n v="8"/>
    <n v="3"/>
    <n v="2023"/>
    <s v="CHI58"/>
    <x v="18"/>
    <s v="J"/>
    <s v="F"/>
    <n v="22.6"/>
    <n v="15.5"/>
    <n v="10.5"/>
    <n v="6.3"/>
    <n v="7.3"/>
    <n v="10.6"/>
    <n v="22"/>
    <n v="17.5"/>
    <n v="76"/>
    <n v="49"/>
    <s v="MF"/>
    <s v="VSP"/>
    <x v="1"/>
    <s v="FC45008"/>
    <m/>
  </r>
  <r>
    <s v="Zambia"/>
    <s v="Chisamba"/>
    <s v="André Farm 3"/>
    <n v="3"/>
    <n v="8"/>
    <n v="3"/>
    <n v="2023"/>
    <s v="CHI59"/>
    <x v="1"/>
    <s v="A"/>
    <s v="M"/>
    <n v="19.899999999999999"/>
    <n v="12.1"/>
    <n v="11.4"/>
    <n v="7.8"/>
    <n v="7.9"/>
    <n v="9.3000000000000007"/>
    <n v="24.2"/>
    <n v="9.5"/>
    <n v="72"/>
    <n v="53"/>
    <s v="MC"/>
    <s v="N"/>
    <x v="0"/>
    <s v="AS62257"/>
    <m/>
  </r>
  <r>
    <s v="Zambia"/>
    <s v="Chisamba"/>
    <s v="André Farm 3"/>
    <n v="3"/>
    <n v="8"/>
    <n v="3"/>
    <n v="2023"/>
    <s v="CHI60"/>
    <x v="21"/>
    <s v="J"/>
    <s v="F"/>
    <n v="6.7"/>
    <n v="14.8"/>
    <n v="12.1"/>
    <n v="2.9"/>
    <n v="2.8"/>
    <n v="6.2"/>
    <n v="14"/>
    <n v="9.1"/>
    <n v="56"/>
    <n v="39"/>
    <s v="MF"/>
    <s v="N"/>
    <x v="0"/>
    <s v="N29827"/>
    <m/>
  </r>
  <r>
    <s v="Zambia"/>
    <s v="Chisamba"/>
    <s v="André Farm 3"/>
    <n v="3"/>
    <n v="8"/>
    <n v="3"/>
    <n v="2023"/>
    <s v="CHI61"/>
    <x v="25"/>
    <s v="A"/>
    <s v="U"/>
    <n v="42.7"/>
    <n v="16.2"/>
    <n v="14.8"/>
    <n v="7.8"/>
    <n v="7.5"/>
    <n v="13"/>
    <n v="27.6"/>
    <s v="-"/>
    <n v="104"/>
    <n v="98"/>
    <s v="MC"/>
    <s v="Y"/>
    <x v="1"/>
    <s v="CA48664"/>
    <m/>
  </r>
  <r>
    <s v="Zambia"/>
    <s v="Chisamba"/>
    <s v="André Farm 3"/>
    <n v="3"/>
    <n v="8"/>
    <n v="3"/>
    <n v="2023"/>
    <s v="CHI62"/>
    <x v="26"/>
    <s v="A"/>
    <s v="M"/>
    <n v="35.4"/>
    <n v="19.3"/>
    <n v="16.2"/>
    <n v="7.3"/>
    <n v="8.6999999999999993"/>
    <n v="12.2"/>
    <n v="25.7"/>
    <n v="9.6"/>
    <n v="86"/>
    <n v="65"/>
    <s v="MF"/>
    <s v="Y"/>
    <x v="1"/>
    <s v="BF17711"/>
    <m/>
  </r>
  <r>
    <s v="Zambia"/>
    <s v="Chisamba"/>
    <s v="André Farm 3"/>
    <n v="3"/>
    <n v="8"/>
    <n v="3"/>
    <n v="2023"/>
    <s v="CHI63"/>
    <x v="18"/>
    <s v="A"/>
    <s v="M"/>
    <n v="25"/>
    <n v="15.2"/>
    <n v="19.3"/>
    <n v="7.3"/>
    <n v="8.3000000000000007"/>
    <n v="10.1"/>
    <n v="24.1"/>
    <n v="14.1"/>
    <n v="78"/>
    <n v="54"/>
    <s v="MC"/>
    <s v="N"/>
    <x v="0"/>
    <s v="BF17712"/>
    <m/>
  </r>
  <r>
    <s v="Zambia"/>
    <s v="Chisamba"/>
    <s v="André Farm 3"/>
    <n v="3"/>
    <n v="8"/>
    <n v="3"/>
    <n v="2023"/>
    <s v="CHI64"/>
    <x v="15"/>
    <s v="A"/>
    <s v="U"/>
    <n v="32.9"/>
    <n v="17.5"/>
    <n v="15.2"/>
    <n v="4.4000000000000004"/>
    <n v="5.3"/>
    <n v="11.3"/>
    <n v="24.5"/>
    <n v="10.5"/>
    <n v="90"/>
    <n v="87"/>
    <s v="MF"/>
    <s v="N"/>
    <x v="0"/>
    <s v="CV00974"/>
    <m/>
  </r>
  <r>
    <s v="Zambia"/>
    <s v="Chisamba"/>
    <s v="André Farm 3"/>
    <n v="3"/>
    <n v="8"/>
    <n v="3"/>
    <n v="2023"/>
    <s v="CHI65"/>
    <x v="27"/>
    <s v="J"/>
    <s v="U"/>
    <n v="8.6"/>
    <n v="9.1999999999999993"/>
    <n v="9.1999999999999993"/>
    <n v="5.3"/>
    <n v="6.1"/>
    <n v="6.1"/>
    <n v="10.8"/>
    <n v="9"/>
    <n v="52"/>
    <n v="33"/>
    <s v="MF"/>
    <s v="Y"/>
    <x v="1"/>
    <s v="N29828"/>
    <m/>
  </r>
  <r>
    <s v="Zambia"/>
    <s v="Chisamba"/>
    <s v="André Farm 3"/>
    <n v="3"/>
    <n v="8"/>
    <n v="3"/>
    <n v="2023"/>
    <s v="CHI66"/>
    <x v="9"/>
    <s v="A"/>
    <s v="F"/>
    <n v="9.1"/>
    <n v="8.9"/>
    <n v="8.9"/>
    <n v="6.2"/>
    <n v="6.2"/>
    <n v="9.3000000000000007"/>
    <n v="16"/>
    <n v="11.4"/>
    <n v="52"/>
    <n v="58"/>
    <s v="MC"/>
    <s v="Y"/>
    <x v="1"/>
    <s v="N29829"/>
    <m/>
  </r>
  <r>
    <s v="Zambia"/>
    <s v="Chisamba"/>
    <s v="André Farm 3"/>
    <n v="3"/>
    <n v="8"/>
    <n v="3"/>
    <n v="2023"/>
    <s v="CHI67"/>
    <x v="1"/>
    <s v="A"/>
    <s v="F"/>
    <n v="19.399999999999999"/>
    <n v="14.6"/>
    <n v="14.6"/>
    <n v="8"/>
    <n v="8.4"/>
    <n v="10.1"/>
    <n v="13.5"/>
    <n v="9.1999999999999993"/>
    <n v="66"/>
    <n v="46"/>
    <s v="MC"/>
    <s v="VSP"/>
    <x v="1"/>
    <s v="Y03439"/>
    <m/>
  </r>
  <r>
    <s v="Zambia"/>
    <s v="Chisamba"/>
    <s v="André Farm 3"/>
    <n v="3"/>
    <n v="8"/>
    <n v="3"/>
    <n v="2023"/>
    <s v="CHI68"/>
    <x v="21"/>
    <s v="A"/>
    <s v="M"/>
    <n v="5.9"/>
    <n v="17.7"/>
    <n v="17.7"/>
    <n v="3.1"/>
    <n v="2.6"/>
    <n v="6"/>
    <n v="15.3"/>
    <n v="9"/>
    <n v="52"/>
    <n v="36"/>
    <s v="MF"/>
    <s v="N"/>
    <x v="0"/>
    <s v="N29830"/>
    <m/>
  </r>
  <r>
    <s v="Zambia"/>
    <s v="Chisamba"/>
    <s v="André Farm 3"/>
    <n v="3"/>
    <n v="8"/>
    <n v="3"/>
    <n v="2023"/>
    <s v="CHI69"/>
    <x v="20"/>
    <s v="A"/>
    <s v="U"/>
    <n v="33.700000000000003"/>
    <n v="15.9"/>
    <n v="15.9"/>
    <n v="6.8"/>
    <n v="5.2"/>
    <n v="11.6"/>
    <n v="24.9"/>
    <n v="15.8"/>
    <n v="96"/>
    <n v="88"/>
    <s v="MC"/>
    <s v="N"/>
    <x v="0"/>
    <s v="BF17713"/>
    <m/>
  </r>
  <r>
    <s v="Zambia"/>
    <s v="Chisamba"/>
    <s v="André Farm 3"/>
    <n v="3"/>
    <n v="8"/>
    <n v="3"/>
    <n v="2023"/>
    <s v="CHI70"/>
    <x v="20"/>
    <s v="A"/>
    <s v="U"/>
    <n v="39.5"/>
    <n v="16.899999999999999"/>
    <n v="16.899999999999999"/>
    <n v="4.5"/>
    <n v="5.0999999999999996"/>
    <n v="11.1"/>
    <n v="23.8"/>
    <s v="-"/>
    <n v="96"/>
    <n v="90"/>
    <s v="MF"/>
    <s v="Y"/>
    <x v="1"/>
    <s v="BF17714"/>
    <m/>
  </r>
  <r>
    <s v="Zambia"/>
    <s v="Chisamba"/>
    <s v="André Farm 3"/>
    <n v="3"/>
    <n v="8"/>
    <n v="3"/>
    <n v="2023"/>
    <s v="CHI71"/>
    <x v="20"/>
    <s v="A"/>
    <s v="U"/>
    <n v="34.5"/>
    <n v="15.1"/>
    <n v="15.1"/>
    <n v="6.1"/>
    <n v="5.3"/>
    <n v="10.4"/>
    <n v="24.8"/>
    <n v="13.1"/>
    <n v="93"/>
    <s v="-"/>
    <s v="MC"/>
    <s v="N"/>
    <x v="0"/>
    <s v="BF17715"/>
    <m/>
  </r>
  <r>
    <s v="Zambia"/>
    <s v="Chisamba"/>
    <s v="André Farm 3"/>
    <n v="3"/>
    <n v="8"/>
    <n v="3"/>
    <n v="2023"/>
    <s v="CHI72"/>
    <x v="20"/>
    <s v="A"/>
    <s v="U"/>
    <n v="30.4"/>
    <n v="14.5"/>
    <n v="14.5"/>
    <n v="5.3"/>
    <n v="5.2"/>
    <n v="10.199999999999999"/>
    <n v="22.3"/>
    <s v="-"/>
    <n v="92"/>
    <n v="84"/>
    <s v="MF"/>
    <s v="N"/>
    <x v="0"/>
    <s v="BF17716"/>
    <m/>
  </r>
  <r>
    <s v="Zambia"/>
    <s v="Chisamba"/>
    <s v="André Farm 3"/>
    <n v="3"/>
    <n v="8"/>
    <n v="3"/>
    <n v="2023"/>
    <s v="CHI73"/>
    <x v="20"/>
    <s v="A"/>
    <s v="U"/>
    <n v="28.4"/>
    <n v="14.4"/>
    <n v="14.4"/>
    <n v="5.0999999999999996"/>
    <n v="5.0999999999999996"/>
    <n v="10.4"/>
    <n v="22.6"/>
    <n v="13.1"/>
    <n v="93"/>
    <n v="87"/>
    <s v="MC"/>
    <s v="Y"/>
    <x v="1"/>
    <s v="BF17717"/>
    <m/>
  </r>
  <r>
    <s v="Zambia"/>
    <s v="Chisamba"/>
    <s v="André Farm 3"/>
    <n v="3"/>
    <n v="8"/>
    <n v="3"/>
    <n v="2023"/>
    <s v="CHI74"/>
    <x v="20"/>
    <s v="A"/>
    <s v="U"/>
    <n v="35.700000000000003"/>
    <n v="16.2"/>
    <n v="16.2"/>
    <n v="4.8"/>
    <n v="5.4"/>
    <n v="11.9"/>
    <n v="22.5"/>
    <n v="12.4"/>
    <n v="98"/>
    <n v="90"/>
    <s v="MF"/>
    <s v="Y"/>
    <x v="1"/>
    <s v="BF17718"/>
    <m/>
  </r>
  <r>
    <s v="Zambia"/>
    <s v="Chisamba"/>
    <s v="André Farm 3"/>
    <n v="3"/>
    <n v="8"/>
    <n v="3"/>
    <n v="2023"/>
    <s v="CHI75"/>
    <x v="20"/>
    <s v="A"/>
    <s v="U"/>
    <n v="32"/>
    <n v="14.4"/>
    <n v="14.4"/>
    <n v="5.3"/>
    <n v="5.4"/>
    <n v="10.199999999999999"/>
    <n v="22.7"/>
    <n v="4.8"/>
    <n v="91"/>
    <n v="84"/>
    <s v="MC"/>
    <s v="Y"/>
    <x v="1"/>
    <s v="BF17719"/>
    <m/>
  </r>
  <r>
    <s v="Zambia"/>
    <s v="Chisamba"/>
    <s v="André Farm 3"/>
    <n v="3"/>
    <n v="8"/>
    <n v="3"/>
    <n v="2023"/>
    <s v="CHI76"/>
    <x v="18"/>
    <s v="A"/>
    <s v="F"/>
    <n v="23.3"/>
    <n v="14.6"/>
    <n v="14.6"/>
    <n v="5.8"/>
    <n v="6.2"/>
    <n v="10.5"/>
    <n v="21.2"/>
    <n v="13.4"/>
    <n v="74"/>
    <n v="48"/>
    <s v="MF"/>
    <s v="Y"/>
    <x v="1"/>
    <s v="FC45009"/>
    <m/>
  </r>
  <r>
    <s v="Zambia"/>
    <s v="Chisamba"/>
    <s v="André Farm 3"/>
    <n v="3"/>
    <n v="8"/>
    <n v="3"/>
    <n v="2023"/>
    <s v="CHI77"/>
    <x v="20"/>
    <s v="A"/>
    <s v="U"/>
    <n v="35"/>
    <n v="14.5"/>
    <n v="14.5"/>
    <n v="5.0999999999999996"/>
    <n v="5.3"/>
    <n v="10.199999999999999"/>
    <n v="23.5"/>
    <n v="4.5999999999999996"/>
    <n v="96"/>
    <n v="87"/>
    <s v="MC"/>
    <s v="Y"/>
    <x v="1"/>
    <s v="BF17720"/>
    <m/>
  </r>
  <r>
    <s v="Zambia"/>
    <s v="Chisamba"/>
    <s v="André Farm 3"/>
    <n v="3"/>
    <n v="8"/>
    <n v="3"/>
    <n v="2023"/>
    <s v="CHI78"/>
    <x v="28"/>
    <m/>
    <m/>
    <m/>
    <m/>
    <m/>
    <m/>
    <m/>
    <m/>
    <m/>
    <m/>
    <m/>
    <m/>
    <m/>
    <m/>
    <x v="2"/>
    <m/>
    <m/>
  </r>
  <r>
    <s v="Zambia"/>
    <s v="Chisamba"/>
    <s v="André Farm 3"/>
    <n v="3"/>
    <n v="8"/>
    <n v="3"/>
    <n v="2023"/>
    <s v="CHI79"/>
    <x v="18"/>
    <s v="A"/>
    <s v="M"/>
    <n v="19"/>
    <n v="12.8"/>
    <n v="10.1"/>
    <n v="5.7"/>
    <n v="6.2"/>
    <n v="10.199999999999999"/>
    <n v="22.2"/>
    <n v="14.9"/>
    <n v="69"/>
    <n v="47"/>
    <s v="MC"/>
    <s v="N"/>
    <x v="0"/>
    <s v="Y03440"/>
    <m/>
  </r>
  <r>
    <s v="Zambia"/>
    <s v="Chisamba"/>
    <s v="André Farm 3"/>
    <n v="3"/>
    <n v="8"/>
    <n v="3"/>
    <n v="2023"/>
    <s v="CHI80"/>
    <x v="29"/>
    <s v="A"/>
    <s v="U"/>
    <n v="11.7"/>
    <n v="13.5"/>
    <n v="9.1999999999999993"/>
    <n v="4.3"/>
    <n v="3.3"/>
    <n v="8.1"/>
    <n v="23.4"/>
    <s v="-"/>
    <n v="72"/>
    <s v="-"/>
    <s v="MF"/>
    <s v="Y"/>
    <x v="1"/>
    <s v="AS62258"/>
    <s v="MOULTING (TAIL)"/>
  </r>
  <r>
    <s v="Zambia"/>
    <s v="Chisamba"/>
    <s v="André Farm 3"/>
    <n v="3"/>
    <n v="8"/>
    <n v="3"/>
    <n v="2023"/>
    <s v="CHI81"/>
    <x v="29"/>
    <s v="A"/>
    <s v="U"/>
    <n v="11.2"/>
    <n v="13.2"/>
    <n v="9.9"/>
    <n v="2.8"/>
    <n v="3"/>
    <n v="7.4"/>
    <n v="25.8"/>
    <s v="-"/>
    <n v="66"/>
    <s v="-"/>
    <s v="MC"/>
    <s v="Y"/>
    <x v="1"/>
    <s v="AS62259"/>
    <s v="MOULTING (TAIL), NO PHOTO"/>
  </r>
  <r>
    <s v="Zambia"/>
    <s v="Chisamba"/>
    <s v="André Farm 3"/>
    <n v="3"/>
    <n v="8"/>
    <n v="3"/>
    <n v="2023"/>
    <s v="CHI82"/>
    <x v="18"/>
    <s v="J"/>
    <s v="U"/>
    <n v="21.8"/>
    <n v="15.9"/>
    <n v="10.7"/>
    <n v="5.8"/>
    <n v="6.8"/>
    <n v="10.4"/>
    <n v="21.2"/>
    <n v="12.3"/>
    <n v="72"/>
    <n v="51"/>
    <s v="MF"/>
    <s v="Y"/>
    <x v="1"/>
    <s v="FC45010"/>
    <m/>
  </r>
  <r>
    <s v="Zambia"/>
    <s v="Chisamba"/>
    <s v="André Farm 3"/>
    <n v="3"/>
    <n v="8"/>
    <n v="3"/>
    <n v="2023"/>
    <s v="CHI83"/>
    <x v="19"/>
    <s v="A"/>
    <s v="F"/>
    <n v="17"/>
    <n v="13.5"/>
    <n v="9.5"/>
    <n v="5.9"/>
    <n v="6.7"/>
    <n v="8.6999999999999993"/>
    <n v="22.1"/>
    <n v="15.1"/>
    <n v="63"/>
    <n v="33"/>
    <s v="MC"/>
    <s v="N"/>
    <x v="0"/>
    <s v="FC45011"/>
    <m/>
  </r>
  <r>
    <s v="Zambia"/>
    <s v="Chisamba"/>
    <s v="André Farm 3"/>
    <n v="3"/>
    <n v="8"/>
    <n v="3"/>
    <n v="2023"/>
    <s v="CHI84"/>
    <x v="17"/>
    <s v="A"/>
    <s v="U"/>
    <n v="38"/>
    <n v="15.1"/>
    <n v="10.6"/>
    <n v="4.2"/>
    <n v="4.4000000000000004"/>
    <n v="10.8"/>
    <n v="30.5"/>
    <s v="-"/>
    <n v="95"/>
    <s v="-"/>
    <s v="MF"/>
    <s v="Y"/>
    <x v="1"/>
    <s v="BF17721"/>
    <s v="MOULTING"/>
  </r>
  <r>
    <s v="Zambia"/>
    <s v="Chisamba"/>
    <s v="André Farm 3"/>
    <n v="3"/>
    <n v="8"/>
    <n v="3"/>
    <n v="2023"/>
    <s v="CHI85"/>
    <x v="29"/>
    <s v="A"/>
    <s v="U"/>
    <n v="10.7"/>
    <n v="12.6"/>
    <n v="9.6999999999999993"/>
    <n v="3.2"/>
    <n v="2.8"/>
    <n v="7.8"/>
    <n v="22.3"/>
    <s v="-"/>
    <n v="68"/>
    <n v="56"/>
    <s v="MC"/>
    <s v="Y"/>
    <x v="1"/>
    <s v="AS62260"/>
    <s v="MOULTING"/>
  </r>
  <r>
    <s v="Zambia"/>
    <s v="Chisamba"/>
    <s v="André Farm 3"/>
    <n v="3"/>
    <n v="8"/>
    <n v="3"/>
    <n v="2023"/>
    <s v="CHI86"/>
    <x v="18"/>
    <s v="A"/>
    <s v="F"/>
    <n v="18.7"/>
    <n v="14.6"/>
    <n v="9"/>
    <n v="5.5"/>
    <n v="6.4"/>
    <n v="9.6999999999999993"/>
    <n v="20.2"/>
    <n v="15.4"/>
    <n v="71"/>
    <n v="51"/>
    <s v="MF"/>
    <s v="Y"/>
    <x v="1"/>
    <s v="BF17722"/>
    <s v="FAECAL SAMPLE COLLECTED ON 10/3/23 WHEN RECAPTURED"/>
  </r>
  <r>
    <s v="Zambia"/>
    <s v="Chisamba"/>
    <s v="André Farm 3"/>
    <n v="3"/>
    <n v="8"/>
    <n v="3"/>
    <n v="2023"/>
    <s v="CHI87"/>
    <x v="30"/>
    <s v="A"/>
    <s v="U"/>
    <n v="27.3"/>
    <n v="18.8"/>
    <n v="12.6"/>
    <n v="4.7"/>
    <n v="4.8"/>
    <n v="11.3"/>
    <n v="31.7"/>
    <n v="35.1"/>
    <n v="96"/>
    <n v="76"/>
    <s v="MC"/>
    <s v="Y"/>
    <x v="1"/>
    <s v="BF17723"/>
    <m/>
  </r>
  <r>
    <s v="Zambia"/>
    <s v="Chisamba"/>
    <s v="André Farm 3"/>
    <n v="3"/>
    <n v="8"/>
    <n v="3"/>
    <n v="2023"/>
    <s v="CHI88"/>
    <x v="31"/>
    <s v="A"/>
    <s v="M"/>
    <n v="8.8000000000000007"/>
    <n v="18.7"/>
    <n v="15.7"/>
    <n v="3.4"/>
    <n v="3.2"/>
    <n v="5.9"/>
    <n v="15.7"/>
    <n v="9"/>
    <n v="65"/>
    <n v="47"/>
    <s v="MF"/>
    <s v="N"/>
    <x v="0"/>
    <s v="N29831"/>
    <m/>
  </r>
  <r>
    <s v="Zambia"/>
    <s v="Chisamba"/>
    <s v="André Farm 3"/>
    <n v="3"/>
    <n v="8"/>
    <n v="3"/>
    <n v="2023"/>
    <s v="CHI89"/>
    <x v="32"/>
    <s v="A"/>
    <s v="U"/>
    <n v="27.5"/>
    <n v="11.3"/>
    <n v="7"/>
    <n v="4.4000000000000004"/>
    <n v="5.2"/>
    <n v="10.7"/>
    <n v="15.3"/>
    <n v="15.8"/>
    <n v="91"/>
    <n v="70"/>
    <s v="MF"/>
    <s v="Y"/>
    <x v="1"/>
    <s v="Y03441"/>
    <m/>
  </r>
  <r>
    <s v="Zambia"/>
    <s v="Chisamba"/>
    <s v="André Farm 3"/>
    <n v="3"/>
    <n v="8"/>
    <n v="3"/>
    <n v="2023"/>
    <s v="CHI90"/>
    <x v="2"/>
    <s v="A"/>
    <s v="U"/>
    <n v="7.5"/>
    <n v="11.9"/>
    <n v="7.9"/>
    <n v="2.7"/>
    <n v="2.8"/>
    <n v="7"/>
    <n v="20"/>
    <n v="6.3"/>
    <n v="48"/>
    <n v="60"/>
    <s v="MF"/>
    <s v="Y"/>
    <x v="1"/>
    <s v="N29832"/>
    <m/>
  </r>
  <r>
    <s v="Zambia"/>
    <s v="Chisamba"/>
    <s v="André Farm 3"/>
    <n v="3"/>
    <n v="8"/>
    <n v="3"/>
    <n v="2023"/>
    <s v="CHI91"/>
    <x v="21"/>
    <s v="J"/>
    <s v="M"/>
    <n v="7.7"/>
    <n v="15.8"/>
    <n v="12.7"/>
    <n v="3.2"/>
    <n v="2.8"/>
    <n v="5.6"/>
    <n v="14.6"/>
    <n v="9"/>
    <n v="58"/>
    <n v="40"/>
    <s v="MF"/>
    <s v="N"/>
    <x v="0"/>
    <s v="N29833"/>
    <m/>
  </r>
  <r>
    <s v="Zambia"/>
    <s v="Chisamba"/>
    <s v="André Farm 3"/>
    <n v="3"/>
    <n v="8"/>
    <n v="3"/>
    <n v="2023"/>
    <s v="CHI92"/>
    <x v="30"/>
    <s v="A"/>
    <s v="U"/>
    <n v="27.6"/>
    <n v="15.6"/>
    <n v="12.9"/>
    <n v="5.0999999999999996"/>
    <n v="4.5999999999999996"/>
    <n v="10.1"/>
    <n v="32.200000000000003"/>
    <n v="26.2"/>
    <n v="91"/>
    <n v="74"/>
    <s v="MC"/>
    <s v="Y"/>
    <x v="1"/>
    <s v="BF17724"/>
    <m/>
  </r>
  <r>
    <s v="Zambia"/>
    <s v="Chisamba"/>
    <s v="André Farm 3"/>
    <n v="3"/>
    <n v="8"/>
    <n v="3"/>
    <n v="2023"/>
    <s v="CHI93"/>
    <x v="10"/>
    <s v="A"/>
    <s v="M"/>
    <n v="15.1"/>
    <n v="12.5"/>
    <n v="9"/>
    <n v="5.4"/>
    <n v="5.7"/>
    <n v="6.7"/>
    <n v="16.7"/>
    <n v="5.4"/>
    <n v="59"/>
    <n v="50"/>
    <s v="MF"/>
    <s v="Y"/>
    <x v="1"/>
    <s v="AS62261"/>
    <m/>
  </r>
  <r>
    <s v="Zambia"/>
    <s v="Chisamba"/>
    <s v="André Farm 3"/>
    <n v="3"/>
    <n v="8"/>
    <n v="3"/>
    <n v="2023"/>
    <s v="CHI94"/>
    <x v="19"/>
    <s v="A"/>
    <s v="F"/>
    <n v="16.399999999999999"/>
    <n v="11.9"/>
    <n v="8.1"/>
    <n v="4.9000000000000004"/>
    <n v="5.9"/>
    <n v="8.9"/>
    <n v="22"/>
    <n v="11.1"/>
    <n v="61"/>
    <n v="39"/>
    <s v="MC"/>
    <s v="N"/>
    <x v="0"/>
    <s v="Y03442"/>
    <m/>
  </r>
  <r>
    <s v="Zambia"/>
    <s v="Chisamba"/>
    <s v="André Farm 3"/>
    <n v="3"/>
    <n v="8"/>
    <n v="3"/>
    <n v="2023"/>
    <s v="CHI95"/>
    <x v="20"/>
    <s v="A"/>
    <s v="U"/>
    <n v="34"/>
    <n v="16.2"/>
    <n v="10.4"/>
    <n v="5.5"/>
    <n v="5.4"/>
    <n v="11.4"/>
    <n v="22"/>
    <s v="-"/>
    <n v="98"/>
    <n v="91"/>
    <s v="MF"/>
    <s v="VSP"/>
    <x v="1"/>
    <s v="BF17725"/>
    <s v="MOULTING"/>
  </r>
  <r>
    <s v="Zambia"/>
    <s v="Chisamba"/>
    <s v="André Farm 3"/>
    <n v="3"/>
    <n v="8"/>
    <n v="3"/>
    <n v="2023"/>
    <s v="CHI96"/>
    <x v="18"/>
    <s v="-"/>
    <s v="M"/>
    <n v="19.2"/>
    <n v="14.2"/>
    <n v="10.7"/>
    <n v="5.3"/>
    <n v="6.2"/>
    <n v="10"/>
    <n v="19.3"/>
    <n v="12"/>
    <n v="68"/>
    <n v="46"/>
    <s v="MF"/>
    <s v="Y"/>
    <x v="1"/>
    <s v="Y03443"/>
    <m/>
  </r>
  <r>
    <s v="Zambia"/>
    <s v="Chisamba"/>
    <s v="André Farm 3"/>
    <n v="3"/>
    <n v="8"/>
    <n v="3"/>
    <n v="2023"/>
    <s v="CHI97"/>
    <x v="19"/>
    <s v="A"/>
    <s v="M"/>
    <n v="18.600000000000001"/>
    <n v="15"/>
    <n v="10.199999999999999"/>
    <n v="5.6"/>
    <n v="7.6"/>
    <n v="8.9"/>
    <n v="14.7"/>
    <n v="15.1"/>
    <n v="73"/>
    <n v="210"/>
    <s v="MC"/>
    <s v="Y"/>
    <x v="1"/>
    <s v="Y03444"/>
    <m/>
  </r>
  <r>
    <s v="Zambia"/>
    <s v="Chisamba"/>
    <s v="André Farm 3"/>
    <n v="3"/>
    <n v="8"/>
    <n v="3"/>
    <n v="2023"/>
    <s v="CHI98"/>
    <x v="18"/>
    <s v="A"/>
    <s v="M"/>
    <n v="18.7"/>
    <n v="15.2"/>
    <n v="11.2"/>
    <n v="5.9"/>
    <n v="7.3"/>
    <n v="10.199999999999999"/>
    <n v="20"/>
    <n v="14.2"/>
    <n v="70"/>
    <n v="46"/>
    <s v="MF"/>
    <s v="Y"/>
    <x v="1"/>
    <s v="FC45012"/>
    <m/>
  </r>
  <r>
    <s v="Zambia"/>
    <s v="Chisamba"/>
    <s v="André Farm 3"/>
    <n v="3"/>
    <n v="8"/>
    <n v="3"/>
    <n v="2023"/>
    <s v="CHI99"/>
    <x v="30"/>
    <s v="A"/>
    <s v="U"/>
    <n v="28.6"/>
    <n v="17.600000000000001"/>
    <n v="13.5"/>
    <n v="4.8"/>
    <n v="5.4"/>
    <n v="11.7"/>
    <n v="30.3"/>
    <n v="27.8"/>
    <n v="101"/>
    <n v="79"/>
    <s v="MF"/>
    <s v="Y"/>
    <x v="1"/>
    <s v="BF17726"/>
    <m/>
  </r>
  <r>
    <s v="Zambia"/>
    <s v="Chisamba"/>
    <s v="André Farm 3"/>
    <n v="3"/>
    <n v="8"/>
    <n v="3"/>
    <n v="2023"/>
    <s v="CHI100"/>
    <x v="6"/>
    <s v="A"/>
    <s v="M"/>
    <n v="8.4"/>
    <n v="9.6"/>
    <n v="6.9"/>
    <n v="4.2"/>
    <n v="4.9000000000000004"/>
    <n v="6.4"/>
    <n v="12.2"/>
    <n v="7.6"/>
    <n v="50"/>
    <n v="37"/>
    <s v="MF"/>
    <s v="Y"/>
    <x v="1"/>
    <s v="N29834"/>
    <m/>
  </r>
  <r>
    <s v="Zambia"/>
    <s v="Chisamba"/>
    <s v="André Farm 3"/>
    <n v="3"/>
    <n v="8"/>
    <n v="3"/>
    <n v="2023"/>
    <s v="CHI101"/>
    <x v="30"/>
    <s v="A"/>
    <s v="U"/>
    <n v="25.4"/>
    <n v="15.4"/>
    <n v="12.6"/>
    <n v="4.2"/>
    <n v="5.2"/>
    <n v="10.4"/>
    <n v="29.6"/>
    <n v="26.3"/>
    <n v="95"/>
    <n v="86"/>
    <s v="MC"/>
    <s v="Y"/>
    <x v="1"/>
    <s v="BF17727"/>
    <m/>
  </r>
  <r>
    <s v="Zambia"/>
    <s v="Chisamba"/>
    <s v="André Farm 3"/>
    <n v="3"/>
    <n v="8"/>
    <n v="3"/>
    <n v="2023"/>
    <s v="CHI102"/>
    <x v="30"/>
    <s v="A"/>
    <s v="U"/>
    <n v="28.5"/>
    <n v="18.8"/>
    <n v="14"/>
    <n v="5.2"/>
    <n v="5.4"/>
    <n v="12.4"/>
    <n v="29.5"/>
    <n v="26"/>
    <n v="99"/>
    <n v="80"/>
    <s v="MF"/>
    <s v="Y"/>
    <x v="1"/>
    <s v="BF17728"/>
    <m/>
  </r>
  <r>
    <s v="Zambia"/>
    <s v="Chisamba"/>
    <s v="André Farm 3"/>
    <n v="3"/>
    <n v="8"/>
    <n v="3"/>
    <n v="2023"/>
    <s v="CHI103"/>
    <x v="24"/>
    <s v="A"/>
    <s v="M"/>
    <n v="11.4"/>
    <n v="9.3000000000000007"/>
    <n v="7.5"/>
    <n v="4.9000000000000004"/>
    <n v="4.8"/>
    <n v="7.3"/>
    <n v="14.4"/>
    <s v="-"/>
    <n v="69"/>
    <n v="44"/>
    <s v="MC"/>
    <s v="VSP"/>
    <x v="1"/>
    <s v="AS62262"/>
    <s v="NO PHOTO"/>
  </r>
  <r>
    <s v="Zambia"/>
    <s v="Chisamba"/>
    <s v="André Farm 3"/>
    <n v="3"/>
    <n v="8"/>
    <n v="3"/>
    <n v="2023"/>
    <s v="CHI104"/>
    <x v="24"/>
    <s v="J"/>
    <s v="U"/>
    <n v="10.7"/>
    <n v="9.3000000000000007"/>
    <n v="6.8"/>
    <n v="4.8"/>
    <n v="4.9000000000000004"/>
    <n v="7.3"/>
    <n v="13.1"/>
    <n v="16.3"/>
    <n v="71"/>
    <n v="50"/>
    <s v="MF"/>
    <s v="Y"/>
    <x v="1"/>
    <s v="AS62263"/>
    <m/>
  </r>
  <r>
    <s v="Zambia"/>
    <s v="Chisamba"/>
    <s v="André Farm 3"/>
    <n v="3"/>
    <n v="8"/>
    <n v="3"/>
    <n v="2023"/>
    <s v="CHI105"/>
    <x v="29"/>
    <s v="A"/>
    <s v="U"/>
    <n v="13.5"/>
    <n v="15.8"/>
    <n v="10.8"/>
    <n v="3.7"/>
    <n v="3.5"/>
    <n v="8.8000000000000007"/>
    <n v="27.4"/>
    <n v="9"/>
    <n v="63"/>
    <n v="57"/>
    <s v="MF"/>
    <s v="Y"/>
    <x v="1"/>
    <s v="AS62264"/>
    <m/>
  </r>
  <r>
    <s v="Zambia"/>
    <s v="Chisamba"/>
    <s v="André Farm 3"/>
    <n v="3"/>
    <n v="8"/>
    <n v="3"/>
    <n v="2023"/>
    <s v="CHI106"/>
    <x v="18"/>
    <s v="A"/>
    <s v="M"/>
    <n v="19.3"/>
    <n v="12.7"/>
    <n v="10.199999999999999"/>
    <n v="5.3"/>
    <n v="6.6"/>
    <n v="9.6999999999999993"/>
    <n v="21.6"/>
    <n v="15.1"/>
    <n v="66"/>
    <n v="43"/>
    <s v="MC"/>
    <s v="Y"/>
    <x v="1"/>
    <s v="Y03445"/>
    <m/>
  </r>
  <r>
    <s v="Zambia"/>
    <s v="Chisamba"/>
    <s v="André Farm 3"/>
    <n v="3"/>
    <n v="8"/>
    <n v="3"/>
    <n v="2023"/>
    <s v="CHI107"/>
    <x v="18"/>
    <s v="J"/>
    <s v="U"/>
    <n v="18.7"/>
    <n v="13.2"/>
    <n v="9.3000000000000007"/>
    <n v="5.3"/>
    <n v="6.3"/>
    <n v="9.1999999999999993"/>
    <n v="20"/>
    <n v="12.6"/>
    <n v="70"/>
    <n v="48"/>
    <s v="MF"/>
    <s v="Y"/>
    <x v="1"/>
    <s v="Y03446"/>
    <m/>
  </r>
  <r>
    <s v="Zambia"/>
    <s v="Chisamba"/>
    <s v="André Farm 3"/>
    <n v="3"/>
    <n v="8"/>
    <n v="3"/>
    <n v="2023"/>
    <s v="CHI108"/>
    <x v="33"/>
    <m/>
    <m/>
    <m/>
    <m/>
    <m/>
    <m/>
    <m/>
    <m/>
    <m/>
    <m/>
    <m/>
    <m/>
    <m/>
    <m/>
    <x v="2"/>
    <m/>
    <m/>
  </r>
  <r>
    <s v="Zambia"/>
    <s v="Chisamba"/>
    <s v="André Farm 3"/>
    <n v="3"/>
    <n v="8"/>
    <n v="3"/>
    <n v="2023"/>
    <s v="CHI109"/>
    <x v="6"/>
    <s v="A"/>
    <s v="F"/>
    <n v="8.1999999999999993"/>
    <n v="9.6"/>
    <n v="6.9"/>
    <n v="4.5999999999999996"/>
    <n v="4.5"/>
    <n v="6.7"/>
    <n v="13.8"/>
    <n v="8.5"/>
    <n v="49"/>
    <n v="38"/>
    <s v="MC"/>
    <s v="Y"/>
    <x v="1"/>
    <s v="N29835"/>
    <m/>
  </r>
  <r>
    <s v="Zambia"/>
    <s v="Chisamba"/>
    <s v="André Farm 3"/>
    <n v="3"/>
    <n v="8"/>
    <n v="3"/>
    <n v="2023"/>
    <s v="CHI110"/>
    <x v="18"/>
    <s v="A"/>
    <s v="M"/>
    <n v="22"/>
    <n v="16.3"/>
    <n v="11.3"/>
    <n v="5.9"/>
    <n v="7.2"/>
    <n v="9.3000000000000007"/>
    <n v="21.4"/>
    <n v="10.7"/>
    <n v="73"/>
    <n v="49"/>
    <s v="MF"/>
    <s v="N"/>
    <x v="0"/>
    <s v="FC45013"/>
    <m/>
  </r>
  <r>
    <s v="Zambia"/>
    <s v="Chisamba"/>
    <s v="André Farm 3"/>
    <n v="3"/>
    <n v="8"/>
    <n v="3"/>
    <n v="2023"/>
    <s v="CHI111"/>
    <x v="30"/>
    <s v="A"/>
    <s v="U"/>
    <n v="31.3"/>
    <n v="17.5"/>
    <n v="13.9"/>
    <n v="4.5"/>
    <n v="5.0999999999999996"/>
    <n v="12.5"/>
    <n v="32.6"/>
    <n v="26.1"/>
    <n v="95"/>
    <n v="77"/>
    <s v="MC"/>
    <s v="Y"/>
    <x v="1"/>
    <s v="BF17729"/>
    <m/>
  </r>
  <r>
    <s v="Zambia"/>
    <s v="Chisamba"/>
    <s v="André Farm 3"/>
    <n v="3"/>
    <n v="8"/>
    <n v="3"/>
    <n v="2023"/>
    <s v="CHI112"/>
    <x v="29"/>
    <s v="A"/>
    <s v="U"/>
    <n v="9"/>
    <n v="11.2"/>
    <n v="8.9"/>
    <n v="3.3"/>
    <n v="2.7"/>
    <n v="6.7"/>
    <n v="22.1"/>
    <n v="10.199999999999999"/>
    <n v="57"/>
    <n v="47"/>
    <s v="MF"/>
    <s v="Y"/>
    <x v="1"/>
    <s v="AS62265"/>
    <m/>
  </r>
  <r>
    <s v="Zambia"/>
    <s v="Chisamba"/>
    <s v="André Farm 3"/>
    <n v="3"/>
    <n v="8"/>
    <n v="3"/>
    <n v="2023"/>
    <s v="CHI113"/>
    <x v="18"/>
    <s v="J"/>
    <s v="M"/>
    <n v="16.8"/>
    <n v="12.7"/>
    <n v="10.5"/>
    <n v="5.3"/>
    <n v="6.4"/>
    <n v="9.1"/>
    <n v="22.4"/>
    <n v="13.8"/>
    <n v="68"/>
    <n v="47"/>
    <s v="MC"/>
    <s v="N"/>
    <x v="0"/>
    <s v="Y03447"/>
    <m/>
  </r>
  <r>
    <s v="Zambia"/>
    <s v="Chisamba"/>
    <s v="André Farm 3"/>
    <n v="3"/>
    <n v="8"/>
    <n v="3"/>
    <n v="2023"/>
    <s v="CHI114"/>
    <x v="21"/>
    <s v="A"/>
    <s v="M"/>
    <n v="6.4"/>
    <n v="16.100000000000001"/>
    <n v="14"/>
    <n v="3"/>
    <n v="2.6"/>
    <n v="6.3"/>
    <n v="15.2"/>
    <n v="5.0999999999999996"/>
    <n v="51"/>
    <n v="36"/>
    <s v="MF"/>
    <s v="N"/>
    <x v="0"/>
    <s v="N29836"/>
    <m/>
  </r>
  <r>
    <s v="Zambia"/>
    <s v="Chisamba"/>
    <s v="André Farm 3"/>
    <n v="3"/>
    <n v="8"/>
    <n v="3"/>
    <n v="2023"/>
    <s v="CHI115"/>
    <x v="19"/>
    <s v="A"/>
    <s v="F"/>
    <n v="18.2"/>
    <n v="13.5"/>
    <n v="9.6"/>
    <n v="5.7"/>
    <n v="7.5"/>
    <n v="7.5"/>
    <n v="18.600000000000001"/>
    <n v="7.6"/>
    <n v="63"/>
    <n v="36"/>
    <s v="MF"/>
    <s v="Y"/>
    <x v="1"/>
    <s v="Y03448"/>
    <m/>
  </r>
  <r>
    <s v="Zambia"/>
    <s v="Chisamba"/>
    <s v="André Farm 3"/>
    <n v="3"/>
    <n v="8"/>
    <n v="3"/>
    <n v="2023"/>
    <s v="CHI116"/>
    <x v="29"/>
    <s v="A"/>
    <s v="U"/>
    <n v="11.5"/>
    <n v="13.3"/>
    <n v="9.1999999999999993"/>
    <n v="3.8"/>
    <n v="3.6"/>
    <n v="7.6"/>
    <n v="22.5"/>
    <s v="-"/>
    <n v="58"/>
    <s v="-"/>
    <s v="MF"/>
    <s v="VSP"/>
    <x v="1"/>
    <s v="AS62266"/>
    <s v="MOULTING (TAIL)"/>
  </r>
  <r>
    <s v="Zambia"/>
    <s v="Chisamba"/>
    <s v="André Farm 3"/>
    <n v="3"/>
    <n v="8"/>
    <n v="3"/>
    <n v="2023"/>
    <s v="CHI117"/>
    <x v="19"/>
    <s v="A"/>
    <s v="F"/>
    <n v="15.6"/>
    <n v="12.4"/>
    <n v="8.6999999999999993"/>
    <n v="5.5"/>
    <n v="6.4"/>
    <n v="8.1999999999999993"/>
    <n v="18"/>
    <n v="8.6999999999999993"/>
    <n v="63"/>
    <n v="36"/>
    <s v="MF"/>
    <s v="Y"/>
    <x v="1"/>
    <s v="Y03449"/>
    <m/>
  </r>
  <r>
    <s v="Zambia"/>
    <s v="Chisamba"/>
    <s v="André Farm 4"/>
    <n v="4"/>
    <n v="9"/>
    <n v="3"/>
    <n v="2023"/>
    <s v="CHI118"/>
    <x v="34"/>
    <s v="A"/>
    <s v="U"/>
    <n v="21.5"/>
    <n v="11.4"/>
    <n v="9.1999999999999993"/>
    <n v="3.4"/>
    <n v="3.4"/>
    <n v="11.3"/>
    <n v="18.8"/>
    <s v="-"/>
    <n v="93"/>
    <n v="78"/>
    <s v="MF"/>
    <s v="N"/>
    <x v="0"/>
    <s v="AS62267"/>
    <s v="MOULTING"/>
  </r>
  <r>
    <s v="Zambia"/>
    <s v="Chisamba"/>
    <s v="André Farm 4"/>
    <n v="4"/>
    <n v="9"/>
    <n v="3"/>
    <n v="2023"/>
    <s v="CHI119"/>
    <x v="35"/>
    <s v="J"/>
    <s v="U"/>
    <n v="18.399999999999999"/>
    <n v="12.6"/>
    <n v="9.1999999999999993"/>
    <n v="3.6"/>
    <n v="3.6"/>
    <n v="10.7"/>
    <n v="23.6"/>
    <s v="-"/>
    <n v="69"/>
    <n v="64"/>
    <s v="MF"/>
    <s v="N"/>
    <x v="0"/>
    <s v="AS62268"/>
    <s v="MOULTING HEAVILY"/>
  </r>
  <r>
    <s v="Zambia"/>
    <s v="Chisamba"/>
    <s v="André Farm 4"/>
    <n v="4"/>
    <n v="9"/>
    <n v="3"/>
    <n v="2023"/>
    <s v="CHI120"/>
    <x v="20"/>
    <s v="A"/>
    <s v="U"/>
    <n v="36.9"/>
    <n v="15.2"/>
    <n v="10.5"/>
    <n v="4.7"/>
    <n v="4.7"/>
    <n v="11"/>
    <n v="22"/>
    <n v="14.6"/>
    <n v="96"/>
    <n v="88"/>
    <s v="MF"/>
    <s v="N"/>
    <x v="0"/>
    <s v="BF17730"/>
    <s v="MOULTING"/>
  </r>
  <r>
    <s v="Zambia"/>
    <s v="Chisamba"/>
    <s v="André Farm 4"/>
    <n v="4"/>
    <n v="9"/>
    <n v="3"/>
    <n v="2023"/>
    <s v="CHI121"/>
    <x v="5"/>
    <s v="A"/>
    <s v="U"/>
    <n v="32.4"/>
    <n v="17.2"/>
    <n v="10.3"/>
    <n v="4.9000000000000004"/>
    <n v="4.9000000000000004"/>
    <n v="12.8"/>
    <n v="25.8"/>
    <s v="-"/>
    <n v="77"/>
    <n v="88"/>
    <s v="MF"/>
    <s v="N"/>
    <x v="0"/>
    <s v="BF17731"/>
    <s v="MOULTING"/>
  </r>
  <r>
    <s v="Zambia"/>
    <s v="Chisamba"/>
    <s v="André Farm 4"/>
    <n v="4"/>
    <n v="9"/>
    <n v="3"/>
    <n v="2023"/>
    <s v="CHI122"/>
    <x v="9"/>
    <s v="A"/>
    <s v="M"/>
    <n v="10.1"/>
    <n v="10.199999999999999"/>
    <n v="7.7"/>
    <n v="4.3"/>
    <n v="4.3"/>
    <n v="6.3"/>
    <n v="14.5"/>
    <n v="4.2"/>
    <n v="53"/>
    <n v="51"/>
    <s v="MF"/>
    <s v="VSP"/>
    <x v="1"/>
    <s v="N29837"/>
    <m/>
  </r>
  <r>
    <s v="Zambia"/>
    <s v="Chisamba"/>
    <s v="André Farm 4"/>
    <n v="4"/>
    <n v="9"/>
    <n v="3"/>
    <n v="2023"/>
    <s v="CHI123"/>
    <x v="36"/>
    <s v="A"/>
    <s v="U"/>
    <n v="14.3"/>
    <n v="11.2"/>
    <n v="8.1999999999999993"/>
    <n v="4.2"/>
    <n v="4.2"/>
    <n v="9.5"/>
    <n v="15"/>
    <n v="30"/>
    <n v="89"/>
    <n v="62"/>
    <s v="MF"/>
    <s v="Y"/>
    <x v="1"/>
    <s v="AS62269"/>
    <m/>
  </r>
  <r>
    <s v="Zambia"/>
    <s v="Chisamba"/>
    <s v="André Farm 4"/>
    <n v="4"/>
    <n v="9"/>
    <n v="3"/>
    <n v="2023"/>
    <s v="CHI124"/>
    <x v="37"/>
    <s v="A"/>
    <s v="U"/>
    <n v="58.1"/>
    <n v="20.8"/>
    <n v="10.7"/>
    <n v="4.7"/>
    <n v="4.7"/>
    <n v="16.8"/>
    <n v="30.2"/>
    <n v="8.8000000000000007"/>
    <n v="88"/>
    <n v="104"/>
    <s v="MF"/>
    <s v="Y"/>
    <x v="1"/>
    <s v="4-61252"/>
    <m/>
  </r>
  <r>
    <s v="Zambia"/>
    <s v="Chisamba"/>
    <s v="André Farm 4"/>
    <n v="4"/>
    <n v="9"/>
    <n v="3"/>
    <n v="2023"/>
    <s v="CHI125"/>
    <x v="9"/>
    <s v="A"/>
    <s v="M"/>
    <n v="9"/>
    <n v="9.3000000000000007"/>
    <n v="7.4"/>
    <n v="5.3"/>
    <n v="5.3"/>
    <n v="7"/>
    <n v="14.5"/>
    <n v="7.8"/>
    <n v="53"/>
    <n v="55"/>
    <s v="MF"/>
    <s v="VSP"/>
    <x v="1"/>
    <s v="N29838"/>
    <m/>
  </r>
  <r>
    <s v="Zambia"/>
    <s v="Chisamba"/>
    <s v="André Farm 4"/>
    <n v="4"/>
    <n v="9"/>
    <n v="3"/>
    <n v="2023"/>
    <s v="CHI126"/>
    <x v="23"/>
    <s v="A"/>
    <s v="M"/>
    <n v="8.8000000000000007"/>
    <n v="13.5"/>
    <n v="10.6"/>
    <n v="3.3"/>
    <n v="3.3"/>
    <n v="6.6"/>
    <n v="16.399999999999999"/>
    <n v="7.8"/>
    <n v="55"/>
    <n v="39"/>
    <s v="MF"/>
    <s v="VSP"/>
    <x v="1"/>
    <s v="N29839"/>
    <m/>
  </r>
  <r>
    <s v="Zambia"/>
    <s v="Chisamba"/>
    <s v="André Farm 4"/>
    <n v="4"/>
    <n v="9"/>
    <n v="3"/>
    <n v="2023"/>
    <s v="CHI127"/>
    <x v="23"/>
    <s v="A"/>
    <s v="F"/>
    <n v="7.2"/>
    <n v="13.6"/>
    <n v="11.2"/>
    <n v="3.4"/>
    <n v="3.4"/>
    <n v="7.7"/>
    <n v="15.6"/>
    <n v="6.8"/>
    <n v="55"/>
    <n v="37"/>
    <s v="MF"/>
    <s v="Y"/>
    <x v="1"/>
    <s v="N29840"/>
    <m/>
  </r>
  <r>
    <s v="Zambia"/>
    <s v="Chisamba"/>
    <s v="André Farm 4"/>
    <n v="4"/>
    <n v="9"/>
    <n v="3"/>
    <n v="2023"/>
    <s v="CHI128"/>
    <x v="38"/>
    <s v="A"/>
    <s v="U"/>
    <n v="11"/>
    <n v="12.3"/>
    <n v="9.6999999999999993"/>
    <n v="3"/>
    <n v="3"/>
    <n v="7.7"/>
    <n v="20.5"/>
    <n v="6.2"/>
    <n v="65"/>
    <n v="28"/>
    <s v="MF"/>
    <s v="N"/>
    <x v="0"/>
    <s v="AS62270"/>
    <m/>
  </r>
  <r>
    <s v="Zambia"/>
    <s v="Chisamba"/>
    <s v="André Farm 4"/>
    <n v="4"/>
    <n v="9"/>
    <n v="3"/>
    <n v="2023"/>
    <s v="CHI129"/>
    <x v="9"/>
    <s v="A"/>
    <s v="F"/>
    <n v="9.6999999999999993"/>
    <n v="10.199999999999999"/>
    <n v="8.3000000000000007"/>
    <n v="5.0999999999999996"/>
    <n v="5.0999999999999996"/>
    <n v="7"/>
    <n v="14.9"/>
    <n v="5.3"/>
    <n v="53"/>
    <n v="53"/>
    <s v="MF"/>
    <s v="VSP"/>
    <x v="1"/>
    <s v="N29841"/>
    <m/>
  </r>
  <r>
    <s v="Zambia"/>
    <s v="Chisamba"/>
    <s v="André Farm 4"/>
    <n v="4"/>
    <n v="9"/>
    <n v="3"/>
    <n v="2023"/>
    <s v="CHI130"/>
    <x v="39"/>
    <s v="A"/>
    <s v="F"/>
    <n v="12.5"/>
    <n v="12.3"/>
    <n v="8.6999999999999993"/>
    <n v="3.1"/>
    <n v="3.1"/>
    <n v="9.1999999999999993"/>
    <n v="21.7"/>
    <n v="2.7"/>
    <n v="56"/>
    <n v="46"/>
    <s v="MF"/>
    <s v="VSP"/>
    <x v="1"/>
    <s v="Y03450"/>
    <m/>
  </r>
  <r>
    <s v="Zambia"/>
    <s v="Chisamba"/>
    <s v="André Farm 4"/>
    <n v="4"/>
    <n v="9"/>
    <n v="3"/>
    <n v="2023"/>
    <s v="CHI131"/>
    <x v="9"/>
    <s v="A"/>
    <s v="M"/>
    <n v="10.3"/>
    <n v="9.8000000000000007"/>
    <n v="8.3000000000000007"/>
    <n v="5.2"/>
    <n v="5.2"/>
    <n v="7"/>
    <n v="15.1"/>
    <n v="6.9"/>
    <n v="53"/>
    <n v="55"/>
    <s v="MF"/>
    <s v="N"/>
    <x v="0"/>
    <s v="N29842"/>
    <m/>
  </r>
  <r>
    <s v="Zambia"/>
    <s v="Chisamba"/>
    <s v="André Farm 4"/>
    <n v="4"/>
    <n v="9"/>
    <n v="3"/>
    <n v="2023"/>
    <s v="CHI132"/>
    <x v="39"/>
    <s v="A"/>
    <s v="M"/>
    <n v="17.2"/>
    <n v="14.1"/>
    <n v="8.8000000000000007"/>
    <n v="3.7"/>
    <n v="3.7"/>
    <n v="10.5"/>
    <n v="23.6"/>
    <n v="5.8"/>
    <n v="65"/>
    <n v="55"/>
    <s v="MF"/>
    <s v="Y"/>
    <x v="1"/>
    <s v="FC45014"/>
    <m/>
  </r>
  <r>
    <s v="Zambia"/>
    <s v="Chisamba"/>
    <s v="André Farm 4"/>
    <n v="4"/>
    <n v="9"/>
    <n v="3"/>
    <n v="2023"/>
    <s v="CHI133"/>
    <x v="20"/>
    <s v="A"/>
    <s v="U"/>
    <n v="35.299999999999997"/>
    <n v="15.4"/>
    <n v="10.5"/>
    <n v="5"/>
    <n v="5"/>
    <n v="11.7"/>
    <n v="21.7"/>
    <n v="10.6"/>
    <n v="94"/>
    <n v="89"/>
    <s v="MF"/>
    <s v="Y"/>
    <x v="1"/>
    <s v="BF17732"/>
    <m/>
  </r>
  <r>
    <s v="Zambia"/>
    <s v="Chisamba"/>
    <s v="André Farm 4"/>
    <n v="4"/>
    <n v="9"/>
    <n v="3"/>
    <n v="2023"/>
    <s v="CHI134"/>
    <x v="40"/>
    <s v="A"/>
    <s v="F"/>
    <n v="44.5"/>
    <n v="31.6"/>
    <n v="26.5"/>
    <n v="9.6999999999999993"/>
    <n v="9.6999999999999993"/>
    <n v="20.3"/>
    <n v="14"/>
    <n v="19.100000000000001"/>
    <n v="85"/>
    <n v="45"/>
    <s v="MF"/>
    <s v="Y"/>
    <x v="1"/>
    <s v="E24967"/>
    <m/>
  </r>
  <r>
    <s v="Zambia"/>
    <s v="Chisamba"/>
    <s v="André Farm 4"/>
    <n v="4"/>
    <n v="9"/>
    <n v="3"/>
    <n v="2023"/>
    <s v="CHI135"/>
    <x v="41"/>
    <s v="A"/>
    <s v="M"/>
    <n v="52.5"/>
    <n v="21.1"/>
    <n v="18.600000000000001"/>
    <n v="11.3"/>
    <n v="11.3"/>
    <n v="18.600000000000001"/>
    <n v="22.2"/>
    <n v="12.1"/>
    <n v="91"/>
    <n v="61"/>
    <s v="MF"/>
    <s v="Y"/>
    <x v="1"/>
    <s v="CA48665"/>
    <m/>
  </r>
  <r>
    <s v="Zambia"/>
    <s v="Chisamba"/>
    <s v="André Farm 3"/>
    <n v="3"/>
    <n v="10"/>
    <n v="3"/>
    <n v="2023"/>
    <s v="CHI136"/>
    <x v="35"/>
    <s v="J"/>
    <s v="U"/>
    <n v="28"/>
    <n v="10.6"/>
    <n v="9.5"/>
    <n v="3.4"/>
    <n v="3.7"/>
    <n v="9.6999999999999993"/>
    <n v="26.3"/>
    <s v="-"/>
    <n v="62"/>
    <n v="53"/>
    <s v="MF"/>
    <s v="N"/>
    <x v="0"/>
    <s v="AS62271"/>
    <s v="MOULTING"/>
  </r>
  <r>
    <s v="Zambia"/>
    <s v="Chisamba"/>
    <s v="André Farm 3"/>
    <n v="3"/>
    <n v="10"/>
    <n v="3"/>
    <n v="2023"/>
    <s v="CHI137"/>
    <x v="35"/>
    <s v="A"/>
    <s v="U"/>
    <n v="27.4"/>
    <n v="13.2"/>
    <n v="9.5"/>
    <n v="3.7"/>
    <n v="3.8"/>
    <n v="8.9"/>
    <n v="24"/>
    <s v="-"/>
    <n v="67"/>
    <n v="63"/>
    <s v="MC"/>
    <s v="VSP"/>
    <x v="1"/>
    <s v="AS62272"/>
    <s v="MOULTING"/>
  </r>
  <r>
    <s v="Zambia"/>
    <s v="Chisamba"/>
    <s v="André Farm 3"/>
    <n v="3"/>
    <n v="10"/>
    <n v="3"/>
    <n v="2023"/>
    <s v="CHI138"/>
    <x v="18"/>
    <s v="A"/>
    <s v="M"/>
    <n v="24.7"/>
    <n v="16.100000000000001"/>
    <n v="11.8"/>
    <n v="6.2"/>
    <n v="7.4"/>
    <n v="10.5"/>
    <n v="22.3"/>
    <n v="14"/>
    <n v="78"/>
    <n v="52"/>
    <s v="MF"/>
    <s v="Y"/>
    <x v="1"/>
    <s v="FC45015"/>
    <m/>
  </r>
  <r>
    <s v="Zambia"/>
    <s v="Chisamba"/>
    <s v="André Farm 3"/>
    <n v="3"/>
    <n v="10"/>
    <n v="3"/>
    <n v="2023"/>
    <s v="CHI139"/>
    <x v="8"/>
    <s v="A"/>
    <s v="M"/>
    <n v="21.6"/>
    <n v="17.7"/>
    <n v="13.2"/>
    <n v="4.2"/>
    <n v="5.2"/>
    <n v="9.6"/>
    <n v="20.3"/>
    <n v="11.7"/>
    <n v="73"/>
    <n v="62"/>
    <s v="MF"/>
    <s v="Y"/>
    <x v="1"/>
    <s v="FC45016"/>
    <s v="NO PHOTO"/>
  </r>
  <r>
    <s v="Zambia"/>
    <s v="Chisamba"/>
    <s v="André Farm 3"/>
    <n v="3"/>
    <n v="10"/>
    <n v="3"/>
    <n v="2023"/>
    <s v="CHI140"/>
    <x v="19"/>
    <s v="J"/>
    <s v="U"/>
    <n v="16.100000000000001"/>
    <n v="13.5"/>
    <n v="9.1999999999999993"/>
    <n v="6.7"/>
    <n v="7.6"/>
    <n v="9"/>
    <n v="17.100000000000001"/>
    <n v="12"/>
    <n v="61"/>
    <n v="30"/>
    <s v="MF"/>
    <s v="N"/>
    <x v="0"/>
    <s v="AS62273"/>
    <m/>
  </r>
  <r>
    <s v="Zambia"/>
    <s v="Chisamba"/>
    <s v="André Farm 3"/>
    <n v="3"/>
    <n v="10"/>
    <n v="3"/>
    <n v="2023"/>
    <s v="CHI141"/>
    <x v="26"/>
    <s v="A"/>
    <s v="M"/>
    <n v="42.6"/>
    <n v="20.5"/>
    <n v="13.5"/>
    <n v="7.8"/>
    <n v="8.3000000000000007"/>
    <n v="13.1"/>
    <n v="28.1"/>
    <n v="10.5"/>
    <n v="95"/>
    <n v="72"/>
    <s v="MF"/>
    <s v="VSP"/>
    <x v="1"/>
    <s v="CV00975"/>
    <m/>
  </r>
  <r>
    <s v="Zambia"/>
    <s v="Chisamba"/>
    <s v="André Farm 3"/>
    <n v="3"/>
    <n v="10"/>
    <n v="3"/>
    <n v="2023"/>
    <s v="CHI142"/>
    <x v="1"/>
    <s v="A"/>
    <s v="F"/>
    <n v="29.3"/>
    <n v="14.1"/>
    <n v="9.9"/>
    <n v="5.9"/>
    <n v="7"/>
    <n v="10.9"/>
    <n v="19.2"/>
    <n v="7.5"/>
    <n v="60"/>
    <n v="43"/>
    <s v="MF"/>
    <s v="Y"/>
    <x v="1"/>
    <s v="AS62275"/>
    <m/>
  </r>
  <r>
    <s v="Zambia"/>
    <s v="Chisamba"/>
    <s v="André Farm 3"/>
    <n v="3"/>
    <n v="10"/>
    <n v="3"/>
    <n v="2023"/>
    <s v="CHI143"/>
    <x v="4"/>
    <s v="A"/>
    <s v="U"/>
    <n v="15.4"/>
    <n v="12.2"/>
    <n v="8.6"/>
    <n v="3.2"/>
    <n v="3.3"/>
    <n v="9.1"/>
    <n v="21.5"/>
    <n v="3.5"/>
    <n v="52"/>
    <n v="49"/>
    <s v="MF"/>
    <s v="Y"/>
    <x v="1"/>
    <s v="AS62274"/>
    <m/>
  </r>
  <r>
    <s v="Zambia"/>
    <s v="Chisamba"/>
    <s v="André Farm 3"/>
    <n v="3"/>
    <n v="10"/>
    <n v="3"/>
    <n v="2023"/>
    <s v="CHI144"/>
    <x v="10"/>
    <s v="A"/>
    <s v="F"/>
    <n v="14.4"/>
    <n v="11.9"/>
    <n v="9.1"/>
    <n v="4.4000000000000004"/>
    <n v="5.4"/>
    <n v="7.1"/>
    <n v="16.100000000000001"/>
    <n v="10"/>
    <n v="59"/>
    <n v="49"/>
    <s v="MF"/>
    <s v="VSP"/>
    <x v="1"/>
    <s v="AS62276"/>
    <m/>
  </r>
  <r>
    <s v="Zambia"/>
    <s v="Chisamba"/>
    <s v="André Farm 3"/>
    <n v="3"/>
    <n v="10"/>
    <n v="3"/>
    <n v="2023"/>
    <s v="CHI145"/>
    <x v="10"/>
    <s v="A"/>
    <s v="M"/>
    <n v="15.1"/>
    <n v="12.5"/>
    <n v="9.5"/>
    <n v="5.0999999999999996"/>
    <n v="5.2"/>
    <n v="8.4"/>
    <n v="17.7"/>
    <n v="6.9"/>
    <n v="58"/>
    <n v="48"/>
    <s v="MF"/>
    <s v="N"/>
    <x v="0"/>
    <s v="AS62277"/>
    <m/>
  </r>
  <r>
    <s v="Zambia"/>
    <s v="Chisamba"/>
    <s v="André Farm 3"/>
    <n v="3"/>
    <n v="10"/>
    <n v="3"/>
    <n v="2023"/>
    <s v="CHI146"/>
    <x v="10"/>
    <s v="A"/>
    <s v="M"/>
    <n v="15.2"/>
    <n v="12.6"/>
    <n v="9.6"/>
    <n v="5.4"/>
    <n v="5.2"/>
    <n v="7.4"/>
    <n v="17"/>
    <n v="5.6"/>
    <n v="59"/>
    <n v="49"/>
    <s v="MF"/>
    <s v="VSP"/>
    <x v="1"/>
    <s v="AS62278"/>
    <m/>
  </r>
  <r>
    <s v="Zambia"/>
    <s v="Chisamba"/>
    <s v="André Farm 3"/>
    <n v="3"/>
    <n v="10"/>
    <n v="3"/>
    <n v="2023"/>
    <s v="CHI147"/>
    <x v="1"/>
    <s v="A"/>
    <s v="F"/>
    <n v="18.7"/>
    <n v="14"/>
    <n v="9.5"/>
    <n v="6.1"/>
    <n v="7.4"/>
    <n v="10.199999999999999"/>
    <n v="21"/>
    <n v="6.1"/>
    <n v="67"/>
    <n v="47"/>
    <s v="MF"/>
    <s v="Y"/>
    <x v="1"/>
    <s v="Y03451"/>
    <m/>
  </r>
  <r>
    <s v="Zambia"/>
    <s v="Chisamba"/>
    <s v="André Farm 3"/>
    <n v="3"/>
    <n v="10"/>
    <n v="3"/>
    <n v="2023"/>
    <s v="CHI148"/>
    <x v="19"/>
    <s v="J"/>
    <s v="F"/>
    <n v="17.899999999999999"/>
    <n v="13.4"/>
    <n v="9.3000000000000007"/>
    <n v="5.4"/>
    <n v="7.3"/>
    <n v="9.4"/>
    <n v="18.7"/>
    <n v="4.3"/>
    <n v="67"/>
    <n v="37"/>
    <s v="MF"/>
    <s v="N"/>
    <x v="0"/>
    <s v="Y03452"/>
    <m/>
  </r>
  <r>
    <s v="Zambia"/>
    <s v="Chisamba"/>
    <s v="André Farm 3"/>
    <n v="3"/>
    <n v="10"/>
    <n v="3"/>
    <n v="2023"/>
    <s v="CHI149"/>
    <x v="18"/>
    <s v="A"/>
    <s v="M"/>
    <n v="23.7"/>
    <n v="17"/>
    <n v="10.8"/>
    <n v="6.8"/>
    <n v="7.3"/>
    <n v="10.199999999999999"/>
    <n v="20.6"/>
    <n v="12.3"/>
    <n v="78"/>
    <n v="49"/>
    <s v="MF"/>
    <s v="N"/>
    <x v="0"/>
    <s v="FC45017"/>
    <m/>
  </r>
  <r>
    <s v="Zambia"/>
    <s v="Chisamba"/>
    <s v="André Farm 3"/>
    <n v="3"/>
    <n v="10"/>
    <n v="3"/>
    <n v="2023"/>
    <s v="CHI150"/>
    <x v="1"/>
    <s v="J"/>
    <s v="M"/>
    <n v="17.5"/>
    <n v="13.9"/>
    <n v="9.3000000000000007"/>
    <n v="5.7"/>
    <n v="6.9"/>
    <n v="9.6999999999999993"/>
    <n v="19.5"/>
    <n v="8.1"/>
    <n v="66"/>
    <n v="46"/>
    <s v="MF"/>
    <s v="Y"/>
    <x v="1"/>
    <s v="Y03453"/>
    <m/>
  </r>
  <r>
    <s v="Zambia"/>
    <s v="Chisamba"/>
    <s v="André Farm 3"/>
    <n v="3"/>
    <n v="10"/>
    <n v="3"/>
    <n v="2023"/>
    <s v="CHI151"/>
    <x v="42"/>
    <s v="A"/>
    <s v="U"/>
    <n v="31.7"/>
    <n v="14.7"/>
    <n v="10.3"/>
    <n v="6.2"/>
    <n v="7.5"/>
    <n v="10.199999999999999"/>
    <n v="20.6"/>
    <n v="20.399999999999999"/>
    <n v="87"/>
    <n v="64"/>
    <s v="MF"/>
    <s v="VSP"/>
    <x v="1"/>
    <s v="FC45018"/>
    <m/>
  </r>
  <r>
    <s v="Zambia"/>
    <s v="Chisamba"/>
    <s v="André Farm 3"/>
    <n v="3"/>
    <n v="10"/>
    <n v="3"/>
    <n v="2023"/>
    <s v="CHI152"/>
    <x v="19"/>
    <s v="J"/>
    <s v="U"/>
    <n v="13.7"/>
    <n v="11.8"/>
    <n v="8.4"/>
    <n v="5.3"/>
    <n v="6.3"/>
    <n v="8.8000000000000007"/>
    <n v="18"/>
    <n v="12.9"/>
    <n v="63"/>
    <n v="33"/>
    <s v="MF"/>
    <s v="N"/>
    <x v="0"/>
    <s v="Y03454"/>
    <m/>
  </r>
  <r>
    <s v="Zambia"/>
    <s v="Chisamba"/>
    <s v="André Farm 3"/>
    <n v="3"/>
    <n v="10"/>
    <n v="3"/>
    <n v="2023"/>
    <s v="CHI153"/>
    <x v="19"/>
    <s v="A"/>
    <s v="F"/>
    <n v="17.399999999999999"/>
    <n v="14.9"/>
    <n v="10.1"/>
    <n v="5.9"/>
    <n v="7"/>
    <n v="8.9"/>
    <n v="20"/>
    <n v="11.9"/>
    <n v="67"/>
    <n v="39"/>
    <s v="MF"/>
    <s v="N"/>
    <x v="0"/>
    <s v="Y03455"/>
    <m/>
  </r>
  <r>
    <s v="Zambia"/>
    <s v="Chisamba"/>
    <s v="André Farm 3"/>
    <n v="3"/>
    <n v="10"/>
    <n v="3"/>
    <n v="2023"/>
    <s v="CHI154"/>
    <x v="19"/>
    <s v="A"/>
    <s v="F"/>
    <n v="17.899999999999999"/>
    <n v="12.7"/>
    <n v="8.4"/>
    <n v="5.8"/>
    <n v="7.1"/>
    <n v="8.3000000000000007"/>
    <n v="19.3"/>
    <n v="12"/>
    <n v="69"/>
    <n v="38"/>
    <s v="MF"/>
    <s v="N"/>
    <x v="0"/>
    <s v="Y03456"/>
    <m/>
  </r>
  <r>
    <s v="Zambia"/>
    <s v="Chisamba"/>
    <s v="André Farm 3"/>
    <n v="3"/>
    <n v="10"/>
    <n v="3"/>
    <n v="2023"/>
    <s v="CHI155"/>
    <x v="18"/>
    <s v="J"/>
    <s v="U"/>
    <n v="20.399999999999999"/>
    <n v="14.5"/>
    <n v="11"/>
    <n v="5.7"/>
    <n v="6.5"/>
    <n v="8.6999999999999993"/>
    <n v="20.3"/>
    <n v="11"/>
    <n v="67"/>
    <n v="45"/>
    <s v="MF"/>
    <s v="N"/>
    <x v="0"/>
    <s v="FC45019"/>
    <m/>
  </r>
  <r>
    <s v="Zambia"/>
    <s v="Chisamba"/>
    <s v="André Farm 3"/>
    <n v="3"/>
    <n v="10"/>
    <n v="3"/>
    <n v="2023"/>
    <s v="CHI156"/>
    <x v="19"/>
    <s v="A"/>
    <s v="M"/>
    <n v="19"/>
    <n v="14.1"/>
    <n v="9.6"/>
    <n v="5.6"/>
    <n v="7.1"/>
    <n v="9.1999999999999993"/>
    <n v="19.3"/>
    <n v="8.1"/>
    <n v="63"/>
    <n v="37"/>
    <s v="MF"/>
    <s v="VSP"/>
    <x v="1"/>
    <s v="Y03457"/>
    <m/>
  </r>
  <r>
    <s v="Zambia"/>
    <s v="Chisamba"/>
    <s v="André Farm 3"/>
    <n v="3"/>
    <n v="10"/>
    <n v="3"/>
    <n v="2023"/>
    <s v="CHI157"/>
    <x v="19"/>
    <s v="A"/>
    <s v="F"/>
    <n v="18.7"/>
    <n v="14.7"/>
    <n v="9.6999999999999993"/>
    <n v="6.2"/>
    <n v="6.3"/>
    <n v="9.3000000000000007"/>
    <n v="20.7"/>
    <n v="10.7"/>
    <n v="67"/>
    <n v="37"/>
    <s v="MF"/>
    <s v="VSP"/>
    <x v="1"/>
    <s v="Y03458"/>
    <m/>
  </r>
  <r>
    <s v="Zambia"/>
    <s v="Chisamba"/>
    <s v="André Farm 3"/>
    <n v="3"/>
    <n v="10"/>
    <n v="3"/>
    <n v="2023"/>
    <s v="CHI158"/>
    <x v="43"/>
    <s v="A"/>
    <s v="M"/>
    <n v="20.5"/>
    <n v="13.5"/>
    <n v="9.9"/>
    <n v="5.6"/>
    <n v="6.7"/>
    <n v="8.6999999999999993"/>
    <n v="19.399999999999999"/>
    <n v="11.3"/>
    <n v="70"/>
    <n v="39"/>
    <s v="MF"/>
    <s v="Y"/>
    <x v="1"/>
    <s v="Y03459"/>
    <m/>
  </r>
  <r>
    <s v="Zambia"/>
    <s v="Chisamba"/>
    <s v="André Farm 3"/>
    <n v="3"/>
    <n v="10"/>
    <n v="3"/>
    <n v="2023"/>
    <s v="CHI159"/>
    <x v="43"/>
    <s v="A"/>
    <s v="F"/>
    <n v="28"/>
    <n v="13.6"/>
    <n v="8.4"/>
    <n v="5.6"/>
    <n v="6.8"/>
    <n v="8.5"/>
    <n v="19.100000000000001"/>
    <n v="9.9"/>
    <n v="67"/>
    <n v="37"/>
    <s v="MF"/>
    <s v="Y"/>
    <x v="1"/>
    <s v="AS62279"/>
    <m/>
  </r>
  <r>
    <s v="Zambia"/>
    <s v="Chisamba"/>
    <s v="André Farm 3"/>
    <n v="3"/>
    <n v="10"/>
    <n v="3"/>
    <n v="2023"/>
    <s v="CHI160"/>
    <x v="29"/>
    <s v="A"/>
    <s v="U"/>
    <n v="12.2"/>
    <n v="13"/>
    <n v="8.9"/>
    <n v="3.5"/>
    <n v="3.4"/>
    <n v="8.3000000000000007"/>
    <n v="23.8"/>
    <s v="-"/>
    <n v="66"/>
    <s v="-"/>
    <s v="MF"/>
    <s v="Y"/>
    <x v="1"/>
    <s v="AS62280"/>
    <m/>
  </r>
  <r>
    <s v="Zambia"/>
    <s v="Chisamba"/>
    <s v="André Farm 3"/>
    <n v="3"/>
    <n v="10"/>
    <n v="3"/>
    <n v="2023"/>
    <s v="CHI161"/>
    <x v="19"/>
    <s v="A"/>
    <s v="F"/>
    <n v="19.100000000000001"/>
    <n v="11.9"/>
    <n v="9.1"/>
    <n v="4.3"/>
    <n v="5.4"/>
    <n v="9.1999999999999993"/>
    <n v="21.7"/>
    <n v="9.1999999999999993"/>
    <n v="61"/>
    <n v="41"/>
    <s v="MC"/>
    <s v="VSP"/>
    <x v="1"/>
    <s v="Y03460"/>
    <m/>
  </r>
  <r>
    <s v="Zambia"/>
    <s v="Chisamba"/>
    <s v="André Farm 3"/>
    <n v="3"/>
    <n v="10"/>
    <n v="3"/>
    <n v="2023"/>
    <s v="CHI162"/>
    <x v="44"/>
    <s v="A"/>
    <s v="U"/>
    <n v="18.3"/>
    <n v="10.8"/>
    <n v="7.7"/>
    <n v="3.3"/>
    <n v="3.3"/>
    <n v="9.4"/>
    <n v="19.7"/>
    <n v="22.3"/>
    <n v="82"/>
    <n v="60"/>
    <s v="MF"/>
    <s v="Y"/>
    <x v="1"/>
    <s v="AS62281"/>
    <m/>
  </r>
  <r>
    <s v="Zambia"/>
    <s v="Chisamba"/>
    <s v="André Farm 3"/>
    <n v="3"/>
    <n v="10"/>
    <n v="3"/>
    <n v="2023"/>
    <s v="CHI163"/>
    <x v="19"/>
    <s v="A"/>
    <s v="F"/>
    <n v="17.3"/>
    <n v="11.9"/>
    <n v="9.1"/>
    <n v="4.4000000000000004"/>
    <n v="5.2"/>
    <n v="8.9"/>
    <n v="21.1"/>
    <n v="8.5"/>
    <n v="67"/>
    <n v="44"/>
    <s v="MC"/>
    <s v="Y"/>
    <x v="1"/>
    <s v="Y03461"/>
    <m/>
  </r>
  <r>
    <s v="Zambia"/>
    <s v="Chisamba"/>
    <s v="André Farm 3"/>
    <n v="3"/>
    <n v="10"/>
    <n v="3"/>
    <n v="2023"/>
    <s v="CHI164"/>
    <x v="18"/>
    <s v="J"/>
    <s v="U"/>
    <n v="19.100000000000001"/>
    <n v="14.4"/>
    <n v="10.1"/>
    <n v="5.5"/>
    <n v="6.5"/>
    <n v="9.8000000000000007"/>
    <n v="18.7"/>
    <s v="-"/>
    <n v="71"/>
    <n v="48"/>
    <s v="MF"/>
    <s v="Y"/>
    <x v="1"/>
    <s v="FC45020"/>
    <m/>
  </r>
  <r>
    <s v="Zambia"/>
    <s v="Chisamba"/>
    <s v="André Farm 3"/>
    <n v="3"/>
    <n v="10"/>
    <n v="3"/>
    <n v="2023"/>
    <s v="CHI165"/>
    <x v="18"/>
    <s v="A"/>
    <s v="F"/>
    <n v="20"/>
    <n v="12.1"/>
    <n v="9.1999999999999993"/>
    <n v="4.5999999999999996"/>
    <n v="5.4"/>
    <n v="8.9"/>
    <n v="21.4"/>
    <s v="-"/>
    <n v="69"/>
    <n v="45"/>
    <s v="MC"/>
    <s v="Y"/>
    <x v="1"/>
    <s v="FC45021"/>
    <m/>
  </r>
  <r>
    <s v="Zambia"/>
    <s v="Chisamba"/>
    <s v="André Farm 3"/>
    <n v="3"/>
    <n v="10"/>
    <n v="3"/>
    <n v="2023"/>
    <s v="CHI166"/>
    <x v="18"/>
    <s v="A"/>
    <s v="M"/>
    <n v="22.8"/>
    <n v="15.8"/>
    <n v="11"/>
    <n v="6.1"/>
    <n v="6.8"/>
    <n v="9.5"/>
    <n v="21.5"/>
    <s v="1-.4"/>
    <n v="75"/>
    <n v="50"/>
    <s v="MF"/>
    <s v="N"/>
    <x v="0"/>
    <s v="FC45022"/>
    <m/>
  </r>
  <r>
    <s v="Zambia"/>
    <s v="Chisamba"/>
    <s v="André Farm 3"/>
    <n v="3"/>
    <n v="10"/>
    <n v="3"/>
    <n v="2023"/>
    <s v="CHI167"/>
    <x v="44"/>
    <s v="A"/>
    <s v="U"/>
    <n v="19.2"/>
    <n v="8.6"/>
    <n v="6.8"/>
    <n v="3.3"/>
    <n v="3.4"/>
    <n v="10.199999999999999"/>
    <n v="21.1"/>
    <n v="23.7"/>
    <n v="81"/>
    <n v="59"/>
    <s v="MC"/>
    <s v="Y"/>
    <x v="1"/>
    <s v="AS62282"/>
    <m/>
  </r>
  <r>
    <s v="Zambia"/>
    <s v="Chisamba"/>
    <s v="André Farm 3"/>
    <n v="3"/>
    <n v="10"/>
    <n v="3"/>
    <n v="2023"/>
    <s v="CHI168"/>
    <x v="43"/>
    <s v="A"/>
    <s v="F"/>
    <n v="17.3"/>
    <n v="13.6"/>
    <n v="9.6"/>
    <n v="5.6"/>
    <n v="6.7"/>
    <n v="8.6999999999999993"/>
    <n v="18.3"/>
    <n v="9.6"/>
    <n v="63"/>
    <n v="36"/>
    <s v="MF"/>
    <s v="Y"/>
    <x v="1"/>
    <s v="AS62283"/>
    <m/>
  </r>
  <r>
    <s v="Zambia"/>
    <s v="Chisamba"/>
    <s v="André Farm 3"/>
    <n v="3"/>
    <n v="10"/>
    <n v="3"/>
    <n v="2023"/>
    <s v="CHI169"/>
    <x v="19"/>
    <s v="A"/>
    <s v="F"/>
    <s v="-"/>
    <s v="-"/>
    <s v="-"/>
    <s v="-"/>
    <s v="-"/>
    <s v="-"/>
    <s v="-"/>
    <s v="-"/>
    <s v="-"/>
    <s v="-"/>
    <s v="MF"/>
    <s v="Y"/>
    <x v="1"/>
    <s v="-"/>
    <s v="INJURED. RELESASED"/>
  </r>
  <r>
    <s v="Zambia"/>
    <s v="Chisamba"/>
    <s v="André Farm 3"/>
    <n v="3"/>
    <n v="10"/>
    <n v="3"/>
    <n v="2023"/>
    <s v="CHI170"/>
    <x v="19"/>
    <s v="A"/>
    <s v="F"/>
    <n v="14.8"/>
    <n v="12.1"/>
    <n v="8.6"/>
    <n v="5.6"/>
    <n v="6.5"/>
    <n v="8.9"/>
    <n v="18.5"/>
    <n v="10.8"/>
    <n v="60"/>
    <n v="31"/>
    <s v="MC"/>
    <s v="Y"/>
    <x v="1"/>
    <s v="Y03462"/>
    <m/>
  </r>
  <r>
    <s v="Zambia"/>
    <s v="Chisamba"/>
    <s v="André Farm 3"/>
    <n v="3"/>
    <n v="10"/>
    <n v="3"/>
    <n v="2023"/>
    <s v="CHI171"/>
    <x v="19"/>
    <s v="-"/>
    <s v="-"/>
    <n v="19.7"/>
    <n v="12.7"/>
    <n v="8.9"/>
    <n v="5.5"/>
    <n v="6.8"/>
    <n v="9"/>
    <n v="18.600000000000001"/>
    <n v="10.6"/>
    <n v="64"/>
    <n v="36"/>
    <s v="MF"/>
    <s v="Y"/>
    <x v="1"/>
    <s v="Y03463"/>
    <s v="FORGOT TO RECORD AGE AND SEX"/>
  </r>
  <r>
    <s v="Zambia"/>
    <s v="Chisamba"/>
    <s v="André Farm 3"/>
    <n v="3"/>
    <n v="10"/>
    <n v="3"/>
    <n v="2023"/>
    <s v="CHI172"/>
    <x v="19"/>
    <s v="A"/>
    <s v="F"/>
    <n v="19"/>
    <n v="12.2"/>
    <n v="9.9"/>
    <n v="5.2"/>
    <n v="6.4"/>
    <n v="8.6"/>
    <n v="21.4"/>
    <n v="9.3000000000000007"/>
    <n v="62"/>
    <n v="34"/>
    <s v="MC"/>
    <s v="Y"/>
    <x v="1"/>
    <s v="Y03464"/>
    <m/>
  </r>
  <r>
    <s v="Zambia"/>
    <s v="Chisamba"/>
    <s v="André Farm 3"/>
    <n v="3"/>
    <n v="10"/>
    <n v="3"/>
    <n v="2023"/>
    <s v="CHI173"/>
    <x v="43"/>
    <s v="A"/>
    <s v="F"/>
    <n v="15.6"/>
    <n v="12.3"/>
    <n v="8.6"/>
    <n v="5.5"/>
    <n v="6"/>
    <n v="7.4"/>
    <n v="18"/>
    <n v="8.5"/>
    <n v="60"/>
    <n v="33"/>
    <s v="MF"/>
    <s v="Y"/>
    <x v="1"/>
    <s v="AS62284"/>
    <m/>
  </r>
  <r>
    <s v="Zambia"/>
    <s v="Chisamba"/>
    <s v="André Farm 3"/>
    <n v="3"/>
    <n v="10"/>
    <n v="3"/>
    <n v="2023"/>
    <s v="CHI174"/>
    <x v="19"/>
    <s v="A"/>
    <s v="F"/>
    <n v="16.2"/>
    <n v="13.5"/>
    <n v="9.1"/>
    <n v="5.8"/>
    <n v="6.6"/>
    <n v="8.4"/>
    <n v="17.8"/>
    <n v="9.4"/>
    <n v="63"/>
    <n v="34"/>
    <s v="MF"/>
    <s v="N"/>
    <x v="0"/>
    <s v="Y03465"/>
    <m/>
  </r>
  <r>
    <s v="Zambia"/>
    <s v="Chisamba"/>
    <s v="André Farm 3"/>
    <n v="3"/>
    <n v="10"/>
    <n v="3"/>
    <n v="2023"/>
    <s v="CHI175"/>
    <x v="1"/>
    <s v="J"/>
    <s v="M"/>
    <n v="18.7"/>
    <n v="12.2"/>
    <n v="9.4"/>
    <n v="5.0999999999999996"/>
    <n v="6.6"/>
    <n v="8.9"/>
    <n v="21.6"/>
    <n v="8.6999999999999993"/>
    <n v="69"/>
    <n v="52"/>
    <s v="MC"/>
    <s v="Y"/>
    <x v="1"/>
    <s v="Y03466"/>
    <m/>
  </r>
  <r>
    <s v="Zambia"/>
    <s v="Chisamba"/>
    <s v="André Farm 3"/>
    <n v="3"/>
    <n v="10"/>
    <n v="3"/>
    <n v="2023"/>
    <s v="CHI176"/>
    <x v="18"/>
    <s v="J"/>
    <s v="U"/>
    <n v="19"/>
    <n v="14.3"/>
    <n v="8.9"/>
    <n v="5.6"/>
    <n v="6"/>
    <n v="9.5"/>
    <n v="20"/>
    <n v="15.4"/>
    <n v="67"/>
    <n v="47"/>
    <s v="MF"/>
    <s v="N"/>
    <x v="0"/>
    <s v="FC45023"/>
    <m/>
  </r>
  <r>
    <s v="Zambia"/>
    <s v="Chisamba"/>
    <s v="André Farm 3"/>
    <n v="3"/>
    <n v="10"/>
    <n v="3"/>
    <n v="2023"/>
    <s v="CHI177"/>
    <x v="18"/>
    <s v="J"/>
    <s v="U"/>
    <n v="18"/>
    <n v="14.1"/>
    <n v="9.6"/>
    <n v="5.0999999999999996"/>
    <n v="6.3"/>
    <n v="9.8000000000000007"/>
    <n v="23.1"/>
    <n v="11.6"/>
    <n v="66"/>
    <n v="46"/>
    <s v="MC"/>
    <s v="Y"/>
    <x v="1"/>
    <s v="FC45024"/>
    <m/>
  </r>
  <r>
    <s v="Zambia"/>
    <s v="Chisamba"/>
    <s v="André Farm 3"/>
    <n v="3"/>
    <n v="10"/>
    <n v="3"/>
    <n v="2023"/>
    <s v="CHI178"/>
    <x v="18"/>
    <s v="J"/>
    <s v="U"/>
    <n v="19.2"/>
    <n v="14"/>
    <n v="9.8000000000000007"/>
    <n v="5.4"/>
    <n v="6.2"/>
    <n v="10.1"/>
    <n v="19.7"/>
    <n v="12.9"/>
    <n v="70"/>
    <n v="47"/>
    <s v="MF"/>
    <s v="Y"/>
    <x v="1"/>
    <s v="FC45025"/>
    <m/>
  </r>
  <r>
    <s v="Zambia"/>
    <s v="Chisamba"/>
    <s v="André Farm 3"/>
    <n v="3"/>
    <n v="10"/>
    <n v="3"/>
    <n v="2023"/>
    <s v="CHI179"/>
    <x v="9"/>
    <s v="A"/>
    <s v="M"/>
    <n v="10.1"/>
    <n v="8.3000000000000007"/>
    <n v="6.7"/>
    <n v="5.0999999999999996"/>
    <n v="5.4"/>
    <n v="6.1"/>
    <n v="14.7"/>
    <n v="6.5"/>
    <n v="52"/>
    <n v="55"/>
    <s v="MF"/>
    <s v="Y"/>
    <x v="1"/>
    <s v="N29843"/>
    <m/>
  </r>
  <r>
    <s v="Zambia"/>
    <s v="Chisamba"/>
    <s v="André Farm 3"/>
    <n v="3"/>
    <n v="10"/>
    <n v="3"/>
    <n v="2023"/>
    <s v="CHI180"/>
    <x v="45"/>
    <s v="A"/>
    <s v="U"/>
    <n v="11.1"/>
    <n v="12"/>
    <n v="8"/>
    <n v="2.8"/>
    <n v="2.6"/>
    <n v="7.9"/>
    <n v="21.6"/>
    <n v="2.9"/>
    <n v="57"/>
    <n v="47"/>
    <s v="MC"/>
    <s v="Y"/>
    <x v="1"/>
    <s v="AS62285"/>
    <m/>
  </r>
  <r>
    <s v="Zambia"/>
    <s v="Chisamba"/>
    <s v="André Farm 3"/>
    <n v="3"/>
    <n v="10"/>
    <n v="3"/>
    <n v="2023"/>
    <s v="CHI181"/>
    <x v="31"/>
    <s v="A"/>
    <s v="M"/>
    <n v="10"/>
    <n v="19.399999999999999"/>
    <n v="16"/>
    <n v="3.3"/>
    <n v="2.9"/>
    <n v="6.5"/>
    <n v="16.2"/>
    <n v="9.4"/>
    <n v="68"/>
    <n v="50"/>
    <s v="MF"/>
    <s v="N"/>
    <x v="0"/>
    <s v="N29844"/>
    <m/>
  </r>
  <r>
    <s v="Zambia"/>
    <s v="Chisamba"/>
    <s v="André Farm 3"/>
    <n v="3"/>
    <n v="10"/>
    <n v="3"/>
    <n v="2023"/>
    <s v="CHI182"/>
    <x v="45"/>
    <s v="A"/>
    <s v="U"/>
    <n v="11"/>
    <n v="12.2"/>
    <n v="8.1999999999999993"/>
    <n v="3.4"/>
    <n v="2.9"/>
    <n v="8.8000000000000007"/>
    <n v="23.4"/>
    <n v="3.2"/>
    <n v="57"/>
    <n v="43"/>
    <s v="MF"/>
    <s v="N"/>
    <x v="0"/>
    <s v="AS62286"/>
    <m/>
  </r>
  <r>
    <s v="Zambia"/>
    <s v="Chisamba"/>
    <s v="André Farm 3"/>
    <n v="3"/>
    <n v="10"/>
    <n v="3"/>
    <n v="2023"/>
    <s v="CHI183"/>
    <x v="4"/>
    <s v="A"/>
    <s v="U"/>
    <n v="14.8"/>
    <n v="13"/>
    <n v="9"/>
    <n v="2.9"/>
    <n v="2.9"/>
    <n v="9"/>
    <n v="22.7"/>
    <n v="1.9"/>
    <n v="56"/>
    <n v="60"/>
    <s v="MF"/>
    <s v="Y"/>
    <x v="1"/>
    <s v="AS62287"/>
    <m/>
  </r>
  <r>
    <s v="Zambia"/>
    <s v="Chisamba"/>
    <s v="André Farm 3"/>
    <n v="3"/>
    <n v="10"/>
    <n v="3"/>
    <n v="2023"/>
    <s v="CHI184"/>
    <x v="18"/>
    <s v="A"/>
    <s v="U"/>
    <n v="20.6"/>
    <n v="16.2"/>
    <n v="10.3"/>
    <n v="5.7"/>
    <n v="7"/>
    <n v="10.5"/>
    <n v="20.3"/>
    <n v="8.6999999999999993"/>
    <n v="74"/>
    <n v="50"/>
    <s v="MF"/>
    <s v="Y"/>
    <x v="1"/>
    <s v="FC45026"/>
    <m/>
  </r>
  <r>
    <s v="Zambia"/>
    <s v="Chisamba"/>
    <s v="André Farm 3"/>
    <n v="3"/>
    <n v="10"/>
    <n v="3"/>
    <n v="2023"/>
    <s v="CHI185"/>
    <x v="25"/>
    <s v="A"/>
    <s v="U"/>
    <n v="37.9"/>
    <n v="20.100000000000001"/>
    <n v="12.3"/>
    <n v="4.3"/>
    <n v="6.3"/>
    <n v="13.1"/>
    <n v="24.4"/>
    <n v="10.3"/>
    <n v="101"/>
    <n v="94"/>
    <s v="MF"/>
    <s v="Y"/>
    <x v="1"/>
    <s v="CA48666"/>
    <m/>
  </r>
  <r>
    <s v="Zambia"/>
    <s v="Chisamba"/>
    <s v="André Farm 3"/>
    <n v="3"/>
    <n v="10"/>
    <n v="3"/>
    <n v="2023"/>
    <s v="CHI186"/>
    <x v="19"/>
    <s v="A"/>
    <s v="F"/>
    <n v="16.600000000000001"/>
    <n v="14.2"/>
    <n v="9.3000000000000007"/>
    <n v="5.8"/>
    <n v="6.7"/>
    <n v="8.1999999999999993"/>
    <n v="19.3"/>
    <n v="12"/>
    <n v="64"/>
    <n v="41"/>
    <s v="MF"/>
    <s v="Y"/>
    <x v="1"/>
    <s v="Y03467"/>
    <m/>
  </r>
  <r>
    <s v="Zambia"/>
    <s v="Chisamba"/>
    <s v="André Farm 3"/>
    <n v="3"/>
    <n v="10"/>
    <n v="3"/>
    <n v="2023"/>
    <s v="CHI187"/>
    <x v="19"/>
    <s v="J"/>
    <s v="F"/>
    <n v="17.2"/>
    <n v="12.9"/>
    <n v="8.9"/>
    <n v="5.0999999999999996"/>
    <n v="6.7"/>
    <n v="8.9"/>
    <n v="19.8"/>
    <n v="12.1"/>
    <n v="65"/>
    <n v="33"/>
    <s v="MF"/>
    <s v="N"/>
    <x v="0"/>
    <s v="Y03468"/>
    <m/>
  </r>
  <r>
    <s v="Zambia"/>
    <s v="Chisamba"/>
    <s v="André Farm 3"/>
    <n v="3"/>
    <n v="10"/>
    <n v="3"/>
    <n v="2023"/>
    <s v="CHI188"/>
    <x v="19"/>
    <s v="J"/>
    <s v="F"/>
    <n v="16.2"/>
    <n v="11.4"/>
    <n v="8.1999999999999993"/>
    <n v="5.3"/>
    <n v="5.7"/>
    <n v="8.8000000000000007"/>
    <n v="19.399999999999999"/>
    <n v="10.199999999999999"/>
    <n v="63"/>
    <n v="36"/>
    <s v="MF"/>
    <s v="N"/>
    <x v="0"/>
    <s v="Y03469"/>
    <m/>
  </r>
  <r>
    <s v="Zambia"/>
    <s v="Chisamba"/>
    <s v="André Farm 3"/>
    <n v="3"/>
    <n v="10"/>
    <n v="3"/>
    <n v="2023"/>
    <s v="CHI189"/>
    <x v="19"/>
    <s v="J"/>
    <s v="U"/>
    <n v="17.2"/>
    <n v="12.6"/>
    <n v="9.1"/>
    <n v="5.4"/>
    <n v="6.1"/>
    <n v="9.1"/>
    <n v="19.7"/>
    <n v="9.6999999999999993"/>
    <n v="66"/>
    <n v="45"/>
    <s v="MF"/>
    <s v="Y"/>
    <x v="1"/>
    <s v="Y03470"/>
    <m/>
  </r>
  <r>
    <s v="Zambia"/>
    <s v="Chisamba"/>
    <s v="André Farm 3"/>
    <n v="3"/>
    <n v="10"/>
    <n v="3"/>
    <n v="2023"/>
    <s v="CHI190"/>
    <x v="43"/>
    <s v="J"/>
    <s v="U"/>
    <n v="15.7"/>
    <n v="12.5"/>
    <n v="8.1"/>
    <n v="5.4"/>
    <n v="6"/>
    <n v="8.9"/>
    <n v="18.899999999999999"/>
    <n v="11.5"/>
    <n v="66"/>
    <n v="36"/>
    <s v="MF"/>
    <s v="N"/>
    <x v="0"/>
    <s v="Y03471"/>
    <m/>
  </r>
  <r>
    <s v="Zambia"/>
    <s v="Chisamba"/>
    <s v="André Farm 3"/>
    <n v="3"/>
    <n v="10"/>
    <n v="3"/>
    <n v="2023"/>
    <s v="CHI191"/>
    <x v="43"/>
    <s v="J"/>
    <s v="F"/>
    <n v="14.6"/>
    <n v="11.9"/>
    <n v="5.3"/>
    <n v="5.8"/>
    <n v="6.2"/>
    <n v="8.8000000000000007"/>
    <n v="18.8"/>
    <n v="10.5"/>
    <n v="61"/>
    <n v="32"/>
    <s v="MF"/>
    <s v="Y"/>
    <x v="1"/>
    <s v="AS62288"/>
    <m/>
  </r>
  <r>
    <s v="Zambia"/>
    <s v="Chisamba"/>
    <s v="André Farm 3"/>
    <n v="3"/>
    <n v="10"/>
    <n v="3"/>
    <n v="2023"/>
    <s v="CHI192"/>
    <x v="43"/>
    <s v="J"/>
    <s v="F"/>
    <n v="13.8"/>
    <n v="12.7"/>
    <n v="7.8"/>
    <n v="5"/>
    <n v="6"/>
    <n v="8.6999999999999993"/>
    <n v="18.399999999999999"/>
    <n v="10.8"/>
    <n v="59"/>
    <n v="33"/>
    <s v="MF"/>
    <s v="N"/>
    <x v="0"/>
    <s v="AS62289"/>
    <m/>
  </r>
  <r>
    <s v="Zambia"/>
    <s v="Chisamba"/>
    <s v="André Farm 3"/>
    <n v="3"/>
    <n v="10"/>
    <n v="3"/>
    <n v="2023"/>
    <s v="CHI193"/>
    <x v="43"/>
    <s v="J"/>
    <s v="F"/>
    <n v="14.8"/>
    <n v="12.3"/>
    <n v="8.4"/>
    <n v="5.3"/>
    <n v="6.2"/>
    <n v="8.8000000000000007"/>
    <n v="17.100000000000001"/>
    <n v="11.2"/>
    <n v="60"/>
    <n v="35"/>
    <s v="MF"/>
    <s v="Y"/>
    <x v="1"/>
    <s v="AS62290"/>
    <m/>
  </r>
  <r>
    <s v="Zambia"/>
    <s v="Chisamba"/>
    <s v="André Farm 3"/>
    <n v="3"/>
    <n v="10"/>
    <n v="3"/>
    <n v="2023"/>
    <s v="CHI194"/>
    <x v="43"/>
    <s v="J"/>
    <s v="F"/>
    <n v="15.4"/>
    <n v="12.7"/>
    <s v="-"/>
    <n v="5.4"/>
    <n v="6.2"/>
    <s v="-"/>
    <n v="10.8"/>
    <s v="-"/>
    <n v="61"/>
    <n v="35"/>
    <s v="MF"/>
    <s v="N"/>
    <x v="0"/>
    <s v="AS62291"/>
    <m/>
  </r>
  <r>
    <s v="Zambia"/>
    <s v="Chisamba"/>
    <s v="André Farm 3"/>
    <n v="3"/>
    <n v="10"/>
    <n v="3"/>
    <n v="2023"/>
    <s v="CHI195"/>
    <x v="43"/>
    <s v="J"/>
    <s v="F"/>
    <n v="15.6"/>
    <n v="11.9"/>
    <n v="8.3000000000000007"/>
    <n v="5.5"/>
    <n v="6"/>
    <n v="8.6"/>
    <n v="18.100000000000001"/>
    <n v="10.199999999999999"/>
    <n v="60"/>
    <n v="33"/>
    <s v="MF"/>
    <s v="Y"/>
    <x v="1"/>
    <s v="AS62292"/>
    <m/>
  </r>
  <r>
    <s v="Zambia"/>
    <s v="Chisamba"/>
    <s v="André Farm 3"/>
    <n v="3"/>
    <n v="10"/>
    <n v="3"/>
    <n v="2023"/>
    <s v="CHI196"/>
    <x v="43"/>
    <s v="J"/>
    <s v="F"/>
    <n v="15"/>
    <n v="12.7"/>
    <n v="8.8000000000000007"/>
    <n v="5.3"/>
    <n v="6.2"/>
    <n v="8.4"/>
    <n v="19"/>
    <n v="10"/>
    <n v="59"/>
    <n v="34"/>
    <s v="MF"/>
    <s v="N"/>
    <x v="0"/>
    <s v="AS62293"/>
    <m/>
  </r>
  <r>
    <s v="Zambia"/>
    <s v="Chisamba"/>
    <s v="Hotill Farm 1"/>
    <n v="1"/>
    <n v="11"/>
    <n v="3"/>
    <n v="2023"/>
    <s v="CHI197"/>
    <x v="1"/>
    <s v="A"/>
    <s v="F"/>
    <n v="18.399999999999999"/>
    <n v="13.8"/>
    <n v="8.8000000000000007"/>
    <n v="5.8"/>
    <n v="7"/>
    <n v="10.4"/>
    <n v="19.899999999999999"/>
    <n v="6.1"/>
    <n v="63"/>
    <n v="43"/>
    <s v="MF"/>
    <s v="VSP"/>
    <x v="1"/>
    <s v="AS62294"/>
    <m/>
  </r>
  <r>
    <s v="Zambia"/>
    <s v="Chisamba"/>
    <s v="Hotill Farm 1"/>
    <n v="1"/>
    <n v="11"/>
    <n v="3"/>
    <n v="2023"/>
    <s v="CHI198"/>
    <x v="9"/>
    <s v="A"/>
    <s v="U"/>
    <n v="9.6999999999999993"/>
    <n v="8.9"/>
    <n v="8"/>
    <n v="5.3"/>
    <n v="5.0999999999999996"/>
    <n v="6.5"/>
    <n v="14.8"/>
    <n v="7.6"/>
    <n v="51"/>
    <n v="52"/>
    <s v="MF"/>
    <s v="Y"/>
    <x v="1"/>
    <s v="N29845"/>
    <m/>
  </r>
  <r>
    <s v="Zambia"/>
    <s v="Chisamba"/>
    <s v="Hotill Farm 1"/>
    <n v="1"/>
    <n v="11"/>
    <n v="3"/>
    <n v="2023"/>
    <s v="CHI199"/>
    <x v="4"/>
    <s v="A"/>
    <s v="U"/>
    <n v="14"/>
    <n v="12.9"/>
    <n v="9.6"/>
    <n v="3.1"/>
    <n v="3.2"/>
    <n v="8.8000000000000007"/>
    <n v="22.1"/>
    <n v="3"/>
    <n v="35"/>
    <n v="54"/>
    <s v="MF"/>
    <s v="Y"/>
    <x v="1"/>
    <s v="AS62295"/>
    <m/>
  </r>
  <r>
    <s v="Zambia"/>
    <s v="Chisamba"/>
    <s v="Hotill Farm 1"/>
    <n v="1"/>
    <n v="11"/>
    <n v="3"/>
    <n v="2023"/>
    <s v="CHI200"/>
    <x v="36"/>
    <s v="A"/>
    <s v="U"/>
    <n v="14.1"/>
    <n v="12.5"/>
    <n v="8.6"/>
    <n v="5"/>
    <n v="3.5"/>
    <n v="10.9"/>
    <n v="15.3"/>
    <n v="28.6"/>
    <n v="91"/>
    <n v="61"/>
    <s v="MF"/>
    <s v="VSP"/>
    <x v="1"/>
    <s v="AS62296"/>
    <m/>
  </r>
  <r>
    <s v="Zambia"/>
    <s v="Chisamba"/>
    <s v="Hotill Farm 1"/>
    <n v="1"/>
    <n v="11"/>
    <n v="3"/>
    <n v="2023"/>
    <s v="CHI201"/>
    <x v="10"/>
    <s v="A"/>
    <s v="F"/>
    <n v="13.5"/>
    <n v="12.3"/>
    <n v="8.4"/>
    <n v="5"/>
    <n v="5.2"/>
    <n v="6.6"/>
    <n v="16.399999999999999"/>
    <n v="6.6"/>
    <n v="56"/>
    <n v="47"/>
    <s v="MF"/>
    <s v="N"/>
    <x v="0"/>
    <s v="AS62297"/>
    <m/>
  </r>
  <r>
    <s v="Zambia"/>
    <s v="Chisamba"/>
    <s v="Hotill Farm 1"/>
    <n v="1"/>
    <n v="11"/>
    <n v="3"/>
    <n v="2023"/>
    <s v="CHI202"/>
    <x v="1"/>
    <s v="A"/>
    <s v="M"/>
    <n v="20.3"/>
    <n v="14.4"/>
    <n v="9"/>
    <n v="5.5"/>
    <n v="8"/>
    <n v="9.6"/>
    <n v="21.4"/>
    <n v="8.1999999999999993"/>
    <n v="69"/>
    <n v="55"/>
    <s v="MF"/>
    <s v="N"/>
    <x v="0"/>
    <s v="FC45027"/>
    <m/>
  </r>
  <r>
    <s v="Zambia"/>
    <s v="Chisamba"/>
    <s v="Hotill Farm 1"/>
    <n v="1"/>
    <n v="11"/>
    <n v="3"/>
    <n v="2023"/>
    <s v="CHI203"/>
    <x v="9"/>
    <s v="A"/>
    <s v="M"/>
    <n v="9.1"/>
    <n v="10.8"/>
    <n v="8"/>
    <n v="5.4"/>
    <n v="5.4"/>
    <n v="7.4"/>
    <n v="14.7"/>
    <n v="17.8"/>
    <n v="54"/>
    <n v="58"/>
    <s v="MF"/>
    <s v="N"/>
    <x v="0"/>
    <s v="N29846"/>
    <m/>
  </r>
  <r>
    <s v="Zambia"/>
    <s v="Chisamba"/>
    <s v="Hotill Farm 1"/>
    <n v="1"/>
    <n v="11"/>
    <n v="3"/>
    <n v="2023"/>
    <s v="CHI204"/>
    <x v="2"/>
    <s v="A"/>
    <s v="U"/>
    <n v="8.1"/>
    <n v="10.8"/>
    <n v="7.8"/>
    <n v="3.1"/>
    <n v="3.1"/>
    <n v="7.4"/>
    <n v="20.9"/>
    <n v="5.9"/>
    <n v="50"/>
    <n v="57"/>
    <s v="MF"/>
    <s v="N"/>
    <x v="0"/>
    <s v="N29847"/>
    <m/>
  </r>
  <r>
    <s v="Zambia"/>
    <s v="Chisamba"/>
    <s v="Hotill Farm 1"/>
    <n v="1"/>
    <n v="11"/>
    <n v="3"/>
    <n v="2023"/>
    <s v="CHI205"/>
    <x v="9"/>
    <s v="A"/>
    <s v="M"/>
    <n v="10"/>
    <n v="10.1"/>
    <n v="8.1"/>
    <n v="5.2"/>
    <n v="5.4"/>
    <n v="6.7"/>
    <n v="14.2"/>
    <n v="8.6"/>
    <n v="52"/>
    <n v="52"/>
    <s v="MF"/>
    <s v="VSP"/>
    <x v="1"/>
    <s v="N29848"/>
    <m/>
  </r>
  <r>
    <s v="Zambia"/>
    <s v="Chisamba"/>
    <s v="Hotill Farm 1"/>
    <n v="1"/>
    <n v="11"/>
    <n v="3"/>
    <n v="2023"/>
    <s v="CHI206"/>
    <x v="18"/>
    <s v="A"/>
    <s v="M"/>
    <n v="23.3"/>
    <n v="16.399999999999999"/>
    <n v="11.1"/>
    <n v="6.5"/>
    <n v="7.8"/>
    <n v="10.4"/>
    <n v="20.7"/>
    <n v="11.4"/>
    <n v="77"/>
    <n v="50"/>
    <s v="MF"/>
    <s v="N"/>
    <x v="0"/>
    <s v="FC45028"/>
    <m/>
  </r>
  <r>
    <s v="Zambia"/>
    <s v="Chisamba"/>
    <s v="Hotill Farm 1"/>
    <n v="1"/>
    <n v="11"/>
    <n v="3"/>
    <n v="2023"/>
    <s v="CHI207"/>
    <x v="1"/>
    <s v="A"/>
    <s v="M"/>
    <n v="19.7"/>
    <n v="14.7"/>
    <n v="8.8000000000000007"/>
    <n v="6.1"/>
    <n v="7.3"/>
    <n v="10.5"/>
    <n v="21.6"/>
    <n v="8.9"/>
    <n v="69"/>
    <n v="50"/>
    <s v="MF"/>
    <s v="N"/>
    <x v="0"/>
    <s v="FC45029"/>
    <m/>
  </r>
  <r>
    <s v="Zambia"/>
    <s v="Chisamba"/>
    <s v="Hotill Farm 1"/>
    <n v="1"/>
    <n v="11"/>
    <n v="3"/>
    <n v="2023"/>
    <s v="CHI208"/>
    <x v="1"/>
    <s v="A"/>
    <s v="M"/>
    <n v="21.4"/>
    <n v="14.1"/>
    <n v="9.9"/>
    <n v="6.5"/>
    <n v="7.8"/>
    <n v="10.1"/>
    <n v="21.5"/>
    <n v="7.8"/>
    <n v="70"/>
    <n v="51"/>
    <s v="MF"/>
    <s v="N"/>
    <x v="0"/>
    <s v="FC45030"/>
    <m/>
  </r>
  <r>
    <s v="Zambia"/>
    <s v="Chisamba"/>
    <s v="Hotill Farm 1"/>
    <n v="1"/>
    <n v="11"/>
    <n v="3"/>
    <n v="2023"/>
    <s v="CHI209"/>
    <x v="9"/>
    <s v="A"/>
    <s v="F"/>
    <n v="9.3000000000000007"/>
    <n v="10.3"/>
    <n v="8.6"/>
    <n v="5.0999999999999996"/>
    <n v="5.8"/>
    <n v="6.1"/>
    <n v="14.6"/>
    <n v="6.5"/>
    <n v="52"/>
    <n v="57"/>
    <s v="MF"/>
    <s v="N"/>
    <x v="0"/>
    <s v="N29849"/>
    <m/>
  </r>
  <r>
    <s v="Zambia"/>
    <s v="Chisamba"/>
    <s v="Hotill Farm 1"/>
    <n v="1"/>
    <n v="11"/>
    <n v="3"/>
    <n v="2023"/>
    <s v="CHI210"/>
    <x v="1"/>
    <s v="A"/>
    <s v="F"/>
    <n v="17.5"/>
    <n v="13.9"/>
    <n v="8.6999999999999993"/>
    <n v="5.9"/>
    <n v="7.1"/>
    <n v="10"/>
    <n v="19.7"/>
    <n v="7"/>
    <n v="64"/>
    <n v="45"/>
    <s v="MF"/>
    <s v="Y"/>
    <x v="1"/>
    <s v="Y03472"/>
    <m/>
  </r>
  <r>
    <s v="Zambia"/>
    <s v="Chisamba"/>
    <s v="Hotill Farm 1"/>
    <n v="1"/>
    <n v="11"/>
    <n v="3"/>
    <n v="2023"/>
    <s v="CHI211"/>
    <x v="44"/>
    <s v="A"/>
    <s v="U"/>
    <n v="19.7"/>
    <n v="11.2"/>
    <n v="8.8000000000000007"/>
    <n v="3.7"/>
    <n v="3.9"/>
    <n v="10.6"/>
    <n v="20.8"/>
    <n v="24.9"/>
    <n v="82"/>
    <n v="58"/>
    <s v="MF"/>
    <s v="Y"/>
    <x v="1"/>
    <s v="AS62298"/>
    <m/>
  </r>
  <r>
    <s v="Zambia"/>
    <s v="Chisamba"/>
    <s v="Hotill Farm 1"/>
    <n v="1"/>
    <n v="11"/>
    <n v="3"/>
    <n v="2023"/>
    <s v="CHI212"/>
    <x v="6"/>
    <s v="A"/>
    <s v="F"/>
    <n v="6.9"/>
    <n v="8.4"/>
    <n v="6.6"/>
    <n v="4.3"/>
    <n v="5"/>
    <n v="5.8"/>
    <n v="12.1"/>
    <n v="7.5"/>
    <n v="49"/>
    <n v="38"/>
    <s v="MF"/>
    <s v="VSP"/>
    <x v="1"/>
    <s v="N29850"/>
    <m/>
  </r>
  <r>
    <s v="Zambia"/>
    <s v="Chisamba"/>
    <s v="Hotill Farm 1"/>
    <n v="1"/>
    <n v="11"/>
    <n v="3"/>
    <n v="2023"/>
    <s v="CHI213"/>
    <x v="20"/>
    <s v="A"/>
    <s v="U"/>
    <n v="37.5"/>
    <n v="15.5"/>
    <n v="10"/>
    <n v="4.5"/>
    <n v="5.0999999999999996"/>
    <n v="12.2"/>
    <n v="23.4"/>
    <n v="12"/>
    <n v="97"/>
    <n v="91"/>
    <s v="MXK"/>
    <s v="Y"/>
    <x v="1"/>
    <s v="BF17733"/>
    <s v="MXK: MAX KHOO"/>
  </r>
  <r>
    <s v="Zambia"/>
    <s v="Chisamba"/>
    <s v="Hotill Farm 1"/>
    <n v="1"/>
    <n v="11"/>
    <n v="3"/>
    <n v="2023"/>
    <s v="CHI214"/>
    <x v="9"/>
    <s v="A"/>
    <s v="F"/>
    <n v="12.9"/>
    <n v="10"/>
    <n v="8.1999999999999993"/>
    <n v="4.5999999999999996"/>
    <n v="5.8"/>
    <n v="7.6"/>
    <n v="15.7"/>
    <s v="-"/>
    <n v="52"/>
    <n v="48"/>
    <s v="MXK"/>
    <s v="Y"/>
    <x v="1"/>
    <s v="N29851"/>
    <m/>
  </r>
  <r>
    <s v="Zambia"/>
    <s v="Chisamba"/>
    <s v="Hotill Farm 1"/>
    <n v="1"/>
    <n v="11"/>
    <n v="3"/>
    <n v="2023"/>
    <s v="CHI215"/>
    <x v="10"/>
    <s v="A"/>
    <s v="F"/>
    <n v="16"/>
    <n v="12.6"/>
    <n v="8.5"/>
    <n v="4.3"/>
    <n v="5.0999999999999996"/>
    <n v="7.4"/>
    <n v="17"/>
    <n v="7"/>
    <n v="57"/>
    <n v="47"/>
    <s v="MF"/>
    <s v="Y"/>
    <x v="1"/>
    <s v="AS62299"/>
    <m/>
  </r>
  <r>
    <s v="Zambia"/>
    <s v="Chisamba"/>
    <s v="Hotill Farm 1"/>
    <n v="1"/>
    <n v="11"/>
    <n v="3"/>
    <n v="2023"/>
    <s v="CHI216"/>
    <x v="10"/>
    <s v="A"/>
    <s v="M"/>
    <n v="12.9"/>
    <n v="12.2"/>
    <n v="9.4"/>
    <n v="5.2"/>
    <n v="5.2"/>
    <n v="6.7"/>
    <n v="16.600000000000001"/>
    <n v="6.5"/>
    <n v="57"/>
    <n v="48"/>
    <s v="MF"/>
    <s v="N"/>
    <x v="0"/>
    <s v="AS62300"/>
    <m/>
  </r>
  <r>
    <s v="Zambia"/>
    <s v="Chisamba"/>
    <s v="Hotill Farm 1"/>
    <n v="1"/>
    <n v="11"/>
    <n v="3"/>
    <n v="2023"/>
    <s v="CHI217"/>
    <x v="10"/>
    <s v="A"/>
    <s v="M"/>
    <n v="14"/>
    <n v="11.7"/>
    <n v="9.4"/>
    <n v="5.3"/>
    <n v="5.0999999999999996"/>
    <n v="7.3"/>
    <n v="16.7"/>
    <n v="7.5"/>
    <n v="59"/>
    <n v="51"/>
    <s v="MF"/>
    <s v="Y"/>
    <x v="1"/>
    <s v="AS54201"/>
    <m/>
  </r>
  <r>
    <s v="Zambia"/>
    <s v="Chisamba"/>
    <s v="Hotill Farm 1"/>
    <n v="1"/>
    <n v="11"/>
    <n v="3"/>
    <n v="2023"/>
    <s v="CHI218"/>
    <x v="1"/>
    <s v="A"/>
    <s v="F"/>
    <n v="18.8"/>
    <n v="15.3"/>
    <n v="9.5"/>
    <n v="6.3"/>
    <n v="7.8"/>
    <n v="9.6999999999999993"/>
    <n v="21.4"/>
    <n v="8.1"/>
    <n v="70"/>
    <n v="46"/>
    <s v="MF"/>
    <s v="Y"/>
    <x v="1"/>
    <s v="Y03473"/>
    <m/>
  </r>
  <r>
    <s v="Zambia"/>
    <s v="Chisamba"/>
    <s v="Hotill Farm 1"/>
    <n v="1"/>
    <n v="11"/>
    <n v="3"/>
    <n v="2023"/>
    <s v="CHI219"/>
    <x v="1"/>
    <s v="J"/>
    <s v="M"/>
    <n v="19.5"/>
    <n v="15.3"/>
    <n v="10.1"/>
    <n v="6.4"/>
    <n v="7.9"/>
    <n v="10.5"/>
    <n v="21.3"/>
    <n v="8"/>
    <n v="67"/>
    <n v="47"/>
    <s v="MF"/>
    <s v="Y"/>
    <x v="1"/>
    <s v="FC45031"/>
    <m/>
  </r>
  <r>
    <s v="Zambia"/>
    <s v="Chisamba"/>
    <s v="Hotill Farm 1"/>
    <n v="1"/>
    <n v="11"/>
    <n v="3"/>
    <n v="2023"/>
    <s v="CHI220"/>
    <x v="2"/>
    <s v="A"/>
    <s v="U"/>
    <n v="7.7"/>
    <n v="10.8"/>
    <n v="8.4"/>
    <n v="2.9"/>
    <n v="3"/>
    <n v="7.6"/>
    <n v="20"/>
    <n v="5.2"/>
    <n v="48"/>
    <n v="51"/>
    <s v="MF"/>
    <s v="Y"/>
    <x v="1"/>
    <s v="N29852"/>
    <m/>
  </r>
  <r>
    <s v="Zambia"/>
    <s v="Chisamba"/>
    <s v="Hotill Farm 1"/>
    <n v="1"/>
    <n v="11"/>
    <n v="3"/>
    <n v="2023"/>
    <s v="CHI221"/>
    <x v="2"/>
    <s v="A"/>
    <s v="U"/>
    <n v="16"/>
    <n v="10.7"/>
    <n v="7.8"/>
    <n v="2.9"/>
    <n v="2.9"/>
    <n v="8.1999999999999993"/>
    <n v="21"/>
    <n v="6"/>
    <n v="51"/>
    <n v="54"/>
    <s v="MF"/>
    <s v="Y"/>
    <x v="1"/>
    <s v="N29853"/>
    <m/>
  </r>
  <r>
    <s v="Zambia"/>
    <s v="Chisamba"/>
    <s v="Hotill Farm 1"/>
    <n v="1"/>
    <n v="11"/>
    <n v="3"/>
    <n v="2023"/>
    <s v="CHI222"/>
    <x v="1"/>
    <s v="J"/>
    <s v="M"/>
    <n v="19.100000000000001"/>
    <n v="14.1"/>
    <n v="9.6999999999999993"/>
    <n v="5.5"/>
    <n v="7.3"/>
    <n v="10.3"/>
    <n v="20.399999999999999"/>
    <n v="6.5"/>
    <n v="67"/>
    <n v="45"/>
    <s v="MF"/>
    <s v="Y"/>
    <x v="1"/>
    <s v="Y03474"/>
    <m/>
  </r>
  <r>
    <s v="Zambia"/>
    <s v="Chisamba"/>
    <s v="Hotill Farm 1"/>
    <n v="1"/>
    <n v="11"/>
    <n v="3"/>
    <n v="2023"/>
    <s v="CHI223"/>
    <x v="1"/>
    <s v="J"/>
    <s v="M"/>
    <n v="19.8"/>
    <n v="14"/>
    <n v="9.6999999999999993"/>
    <n v="5.9"/>
    <n v="7.3"/>
    <n v="9.6"/>
    <n v="21.8"/>
    <n v="7.2"/>
    <n v="68"/>
    <n v="48"/>
    <s v="MF"/>
    <s v="N"/>
    <x v="0"/>
    <s v="Y03475"/>
    <m/>
  </r>
  <r>
    <s v="Zambia"/>
    <s v="Chisamba"/>
    <s v="Hotill Farm 1"/>
    <n v="1"/>
    <n v="11"/>
    <n v="3"/>
    <n v="2023"/>
    <s v="CHI224"/>
    <x v="1"/>
    <s v="A"/>
    <s v="F"/>
    <n v="19"/>
    <n v="13.2"/>
    <n v="9"/>
    <n v="5.9"/>
    <n v="6.5"/>
    <n v="9.4"/>
    <n v="20.5"/>
    <n v="6"/>
    <n v="67"/>
    <n v="50"/>
    <s v="MF"/>
    <s v="Y"/>
    <x v="1"/>
    <s v="Y03476"/>
    <m/>
  </r>
  <r>
    <s v="Zambia"/>
    <s v="Chisamba"/>
    <s v="Hotill Farm 1"/>
    <n v="1"/>
    <n v="11"/>
    <n v="3"/>
    <n v="2023"/>
    <s v="CHI225"/>
    <x v="10"/>
    <s v="A"/>
    <s v="M"/>
    <n v="14.9"/>
    <n v="12.9"/>
    <n v="9.1999999999999993"/>
    <n v="5"/>
    <n v="5"/>
    <n v="7.2"/>
    <n v="17.2"/>
    <n v="8.6999999999999993"/>
    <n v="59"/>
    <n v="47"/>
    <s v="MF"/>
    <s v="Y"/>
    <x v="1"/>
    <s v="AS54202"/>
    <m/>
  </r>
  <r>
    <s v="Zambia"/>
    <s v="Chisamba"/>
    <s v="Hotill Farm 1"/>
    <n v="1"/>
    <n v="11"/>
    <n v="3"/>
    <n v="2023"/>
    <s v="CHI226"/>
    <x v="46"/>
    <s v="A"/>
    <s v="U"/>
    <n v="13.3"/>
    <n v="22.5"/>
    <n v="17.399999999999999"/>
    <n v="5"/>
    <n v="4.3"/>
    <n v="10"/>
    <n v="9.1999999999999993"/>
    <n v="13.2"/>
    <n v="74"/>
    <n v="64"/>
    <s v="MF"/>
    <s v="Y"/>
    <x v="1"/>
    <s v="E24968"/>
    <m/>
  </r>
  <r>
    <s v="Zambia"/>
    <s v="Chisamba"/>
    <s v="Hotill Farm 1"/>
    <n v="1"/>
    <n v="11"/>
    <n v="3"/>
    <n v="2023"/>
    <s v="CHI227"/>
    <x v="14"/>
    <s v="A"/>
    <s v="U"/>
    <n v="65.8"/>
    <n v="13.4"/>
    <n v="8"/>
    <n v="2.4"/>
    <n v="3.5"/>
    <n v="9"/>
    <n v="19"/>
    <n v="30.5"/>
    <n v="111"/>
    <n v="83"/>
    <s v="MF"/>
    <s v="Y"/>
    <x v="1"/>
    <s v="4-61253"/>
    <m/>
  </r>
  <r>
    <s v="Zambia"/>
    <s v="Chisamba"/>
    <s v="Hotill Farm 1"/>
    <n v="1"/>
    <n v="11"/>
    <n v="3"/>
    <n v="2023"/>
    <s v="CHI228"/>
    <x v="5"/>
    <s v="A"/>
    <s v="U"/>
    <n v="42.4"/>
    <n v="18.600000000000001"/>
    <n v="10.5"/>
    <n v="5.6"/>
    <n v="6.3"/>
    <n v="13.7"/>
    <n v="27"/>
    <n v="8.5"/>
    <n v="78"/>
    <n v="86"/>
    <s v="MF"/>
    <s v="N"/>
    <x v="0"/>
    <s v="CV00976"/>
    <m/>
  </r>
  <r>
    <s v="Zambia"/>
    <s v="Chisamba"/>
    <s v="Hotill Farm 1"/>
    <n v="1"/>
    <n v="11"/>
    <n v="3"/>
    <n v="2023"/>
    <s v="CHI229"/>
    <x v="1"/>
    <s v="J"/>
    <s v="M"/>
    <n v="20.100000000000001"/>
    <n v="14.5"/>
    <n v="9"/>
    <n v="6"/>
    <n v="7"/>
    <n v="10"/>
    <n v="22"/>
    <n v="8"/>
    <n v="65"/>
    <n v="47"/>
    <s v="MF"/>
    <s v="N"/>
    <x v="0"/>
    <s v="FC45032"/>
    <m/>
  </r>
  <r>
    <s v="Zambia"/>
    <s v="Chisamba"/>
    <s v="Hotill Farm 1"/>
    <n v="1"/>
    <n v="11"/>
    <n v="3"/>
    <n v="2023"/>
    <s v="CHI230"/>
    <x v="1"/>
    <s v="A"/>
    <s v="M"/>
    <n v="21"/>
    <n v="14.7"/>
    <n v="9.4"/>
    <n v="5.9"/>
    <n v="7.8"/>
    <n v="10"/>
    <n v="21.1"/>
    <n v="6"/>
    <n v="72"/>
    <n v="54"/>
    <s v="MF"/>
    <s v="N"/>
    <x v="0"/>
    <s v="Y03477"/>
    <m/>
  </r>
  <r>
    <s v="Zambia"/>
    <s v="Chisamba"/>
    <s v="Hotill Farm 1"/>
    <n v="1"/>
    <n v="11"/>
    <n v="3"/>
    <n v="2023"/>
    <s v="CHI231"/>
    <x v="1"/>
    <s v="A"/>
    <s v="M"/>
    <n v="19.399999999999999"/>
    <n v="14.9"/>
    <n v="9.3000000000000007"/>
    <n v="5.9"/>
    <n v="7.5"/>
    <n v="9.9"/>
    <n v="21.3"/>
    <n v="5.8"/>
    <n v="67"/>
    <n v="54"/>
    <s v="MF"/>
    <s v="N"/>
    <x v="0"/>
    <s v="Y03478"/>
    <m/>
  </r>
  <r>
    <s v="Zambia"/>
    <s v="Chisamba"/>
    <s v="Hotill Farm 1"/>
    <n v="1"/>
    <n v="11"/>
    <n v="3"/>
    <n v="2023"/>
    <s v="CHI232"/>
    <x v="9"/>
    <s v="A"/>
    <s v="M"/>
    <n v="9"/>
    <n v="9.3000000000000007"/>
    <n v="7.3"/>
    <n v="5.6"/>
    <n v="6"/>
    <n v="6"/>
    <n v="14.9"/>
    <n v="5"/>
    <n v="49"/>
    <s v="-"/>
    <s v="MXK"/>
    <s v="N"/>
    <x v="0"/>
    <s v="N29854"/>
    <m/>
  </r>
  <r>
    <s v="Zambia"/>
    <s v="Chisamba"/>
    <s v="Hotill Farm 1"/>
    <n v="1"/>
    <n v="11"/>
    <n v="3"/>
    <n v="2023"/>
    <s v="CHI233"/>
    <x v="1"/>
    <s v="J"/>
    <s v="U"/>
    <n v="17.100000000000001"/>
    <n v="13.5"/>
    <n v="9.1"/>
    <n v="5.9"/>
    <n v="7.5"/>
    <n v="9.1999999999999993"/>
    <n v="19.2"/>
    <n v="5.9"/>
    <n v="61"/>
    <n v="43"/>
    <s v="MXK"/>
    <s v="Y"/>
    <x v="1"/>
    <s v="Y02479"/>
    <m/>
  </r>
  <r>
    <s v="Zambia"/>
    <s v="Chisamba"/>
    <s v="Hotill Farm 1"/>
    <n v="1"/>
    <n v="11"/>
    <n v="3"/>
    <n v="2023"/>
    <s v="CHI234"/>
    <x v="4"/>
    <s v="A"/>
    <s v="U"/>
    <n v="15.3"/>
    <n v="13.2"/>
    <n v="8.6999999999999993"/>
    <n v="2.8"/>
    <n v="3.3"/>
    <n v="8.9"/>
    <n v="24.2"/>
    <n v="2.7"/>
    <n v="55"/>
    <n v="59"/>
    <s v="MXK"/>
    <s v="Y"/>
    <x v="1"/>
    <s v="AS54203"/>
    <m/>
  </r>
  <r>
    <s v="Zambia"/>
    <s v="Chisamba"/>
    <s v="Hotill Farm 1"/>
    <n v="1"/>
    <n v="11"/>
    <n v="3"/>
    <n v="2023"/>
    <s v="CHI235"/>
    <x v="1"/>
    <s v="J"/>
    <s v="M"/>
    <n v="16.399999999999999"/>
    <n v="14.6"/>
    <n v="8.8000000000000007"/>
    <n v="5.8"/>
    <n v="6.9"/>
    <n v="9.6"/>
    <n v="19.899999999999999"/>
    <n v="7.1"/>
    <n v="60"/>
    <n v="45"/>
    <s v="MXK"/>
    <s v="Y"/>
    <x v="1"/>
    <s v="Y03480"/>
    <m/>
  </r>
  <r>
    <s v="Zambia"/>
    <s v="Chisamba"/>
    <s v="Hotill Farm 1"/>
    <n v="1"/>
    <n v="11"/>
    <n v="3"/>
    <n v="2023"/>
    <s v="CHI236"/>
    <x v="10"/>
    <s v="A"/>
    <s v="F"/>
    <n v="16.5"/>
    <n v="11.9"/>
    <n v="8.9"/>
    <n v="5"/>
    <n v="5.0999999999999996"/>
    <n v="6.9"/>
    <n v="16.899999999999999"/>
    <n v="8.5"/>
    <n v="55"/>
    <n v="47"/>
    <s v="MXK"/>
    <s v="Y"/>
    <x v="1"/>
    <s v="AS54204"/>
    <m/>
  </r>
  <r>
    <s v="Zambia"/>
    <s v="Chisamba"/>
    <s v="Hotill Farm 1"/>
    <n v="1"/>
    <n v="11"/>
    <n v="3"/>
    <n v="2023"/>
    <s v="CHI237"/>
    <x v="1"/>
    <s v="A"/>
    <s v="M"/>
    <n v="20.6"/>
    <n v="15"/>
    <n v="9"/>
    <n v="6.5"/>
    <n v="6.3"/>
    <n v="9.6999999999999993"/>
    <n v="21"/>
    <n v="7.8"/>
    <n v="70"/>
    <n v="60"/>
    <s v="MXK"/>
    <s v="N"/>
    <x v="0"/>
    <s v="Y03481"/>
    <m/>
  </r>
  <r>
    <s v="Zambia"/>
    <s v="Chisamba"/>
    <s v="Hotill Farm 1"/>
    <n v="1"/>
    <n v="11"/>
    <n v="3"/>
    <n v="2023"/>
    <s v="CHI238"/>
    <x v="18"/>
    <s v="A"/>
    <s v="M"/>
    <n v="24.6"/>
    <n v="16.3"/>
    <n v="10.4"/>
    <n v="6.2"/>
    <n v="8"/>
    <n v="10.3"/>
    <n v="21.5"/>
    <n v="11.1"/>
    <n v="70"/>
    <n v="56"/>
    <s v="MXK"/>
    <s v="Y"/>
    <x v="1"/>
    <s v="FC45033"/>
    <m/>
  </r>
  <r>
    <s v="Zambia"/>
    <s v="Chisamba"/>
    <s v="Hotill Farm 1"/>
    <n v="1"/>
    <n v="11"/>
    <n v="3"/>
    <n v="2023"/>
    <s v="CHI239"/>
    <x v="18"/>
    <s v="A"/>
    <s v="M"/>
    <n v="26.3"/>
    <n v="16.100000000000001"/>
    <n v="11"/>
    <n v="6.5"/>
    <n v="8.1"/>
    <n v="10.199999999999999"/>
    <n v="22.2"/>
    <n v="11"/>
    <n v="72"/>
    <n v="50"/>
    <s v="MXK"/>
    <s v="Y"/>
    <x v="1"/>
    <s v="FC45034"/>
    <m/>
  </r>
  <r>
    <s v="Zambia"/>
    <s v="Chisamba"/>
    <s v="Hotill Farm 2"/>
    <n v="2"/>
    <n v="12"/>
    <n v="3"/>
    <n v="2023"/>
    <s v="CHI240"/>
    <x v="30"/>
    <s v="A"/>
    <s v="U"/>
    <n v="27.4"/>
    <n v="16.899999999999999"/>
    <n v="12.6"/>
    <n v="5.4"/>
    <n v="5.2"/>
    <n v="12.1"/>
    <n v="28.2"/>
    <n v="29"/>
    <n v="97"/>
    <n v="76"/>
    <s v="MF"/>
    <s v="Y"/>
    <x v="1"/>
    <s v="BF17734"/>
    <m/>
  </r>
  <r>
    <s v="Zambia"/>
    <s v="Chisamba"/>
    <s v="Hotill Farm 2"/>
    <n v="2"/>
    <n v="12"/>
    <n v="3"/>
    <n v="2023"/>
    <s v="CHI241"/>
    <x v="31"/>
    <s v="A"/>
    <s v="M"/>
    <n v="9.1"/>
    <n v="18.399999999999999"/>
    <n v="15.8"/>
    <n v="3.5"/>
    <n v="3"/>
    <n v="7"/>
    <n v="15.3"/>
    <n v="10"/>
    <n v="65"/>
    <n v="47"/>
    <s v="MF"/>
    <s v="N"/>
    <x v="0"/>
    <s v="N29855"/>
    <m/>
  </r>
  <r>
    <s v="Zambia"/>
    <s v="Chisamba"/>
    <s v="Hotill Farm 2"/>
    <n v="2"/>
    <n v="12"/>
    <n v="3"/>
    <n v="2023"/>
    <s v="CHI242"/>
    <x v="11"/>
    <s v="A"/>
    <s v="M"/>
    <n v="27.7"/>
    <n v="12.6"/>
    <n v="10"/>
    <n v="4.8"/>
    <n v="6.4"/>
    <n v="13.5"/>
    <n v="22.5"/>
    <n v="29.4"/>
    <n v="96"/>
    <n v="77"/>
    <s v="MF"/>
    <s v="VSP"/>
    <x v="1"/>
    <s v="FC45035"/>
    <m/>
  </r>
  <r>
    <s v="Zambia"/>
    <s v="Chisamba"/>
    <s v="Hotill Farm 2"/>
    <n v="2"/>
    <n v="12"/>
    <n v="3"/>
    <n v="2023"/>
    <s v="CHI243"/>
    <x v="2"/>
    <s v="A"/>
    <s v="U"/>
    <n v="9.1"/>
    <n v="11"/>
    <n v="7.6"/>
    <n v="3"/>
    <n v="2.8"/>
    <n v="9"/>
    <n v="21.3"/>
    <n v="5.2"/>
    <n v="51"/>
    <n v="61"/>
    <s v="MF"/>
    <s v="N"/>
    <x v="0"/>
    <s v="N29856"/>
    <m/>
  </r>
  <r>
    <s v="Zambia"/>
    <s v="Chisamba"/>
    <s v="Hotill Farm 2"/>
    <n v="2"/>
    <n v="12"/>
    <n v="3"/>
    <n v="2023"/>
    <s v="CHI244"/>
    <x v="1"/>
    <s v="A"/>
    <s v="M"/>
    <n v="21.3"/>
    <n v="15.3"/>
    <n v="10"/>
    <n v="6.2"/>
    <n v="8"/>
    <n v="10.4"/>
    <n v="21.4"/>
    <n v="9"/>
    <n v="73"/>
    <n v="55"/>
    <s v="MF"/>
    <s v="N"/>
    <x v="0"/>
    <s v="FC45036"/>
    <m/>
  </r>
  <r>
    <s v="Zambia"/>
    <s v="Chisamba"/>
    <s v="Hotill Farm 2"/>
    <n v="2"/>
    <n v="12"/>
    <n v="3"/>
    <n v="2023"/>
    <s v="CHI245"/>
    <x v="43"/>
    <s v="A"/>
    <s v="F"/>
    <n v="14.3"/>
    <n v="12.6"/>
    <n v="8.4"/>
    <n v="5.0999999999999996"/>
    <n v="6"/>
    <n v="8.6999999999999993"/>
    <n v="8.4"/>
    <n v="8.4"/>
    <n v="60"/>
    <n v="32"/>
    <s v="MF"/>
    <s v="N"/>
    <x v="0"/>
    <s v="Y03482"/>
    <m/>
  </r>
  <r>
    <s v="Zambia"/>
    <s v="Chisamba"/>
    <s v="Hotill Farm 2"/>
    <n v="2"/>
    <n v="12"/>
    <n v="3"/>
    <n v="2023"/>
    <s v="CHI246"/>
    <x v="31"/>
    <s v="A"/>
    <s v="M"/>
    <n v="9.4"/>
    <n v="18.600000000000001"/>
    <n v="16"/>
    <n v="3.6"/>
    <n v="3"/>
    <n v="8"/>
    <n v="15.5"/>
    <n v="9.6999999999999993"/>
    <n v="66"/>
    <n v="47"/>
    <s v="MF"/>
    <s v="VSP"/>
    <x v="1"/>
    <s v="N29857"/>
    <m/>
  </r>
  <r>
    <s v="Zambia"/>
    <s v="Chisamba"/>
    <s v="Hotill Farm 2"/>
    <n v="2"/>
    <n v="12"/>
    <n v="3"/>
    <n v="2023"/>
    <s v="CHI247"/>
    <x v="30"/>
    <s v="A"/>
    <s v="U"/>
    <n v="33.200000000000003"/>
    <n v="17.3"/>
    <n v="13"/>
    <n v="5.4"/>
    <n v="5.4"/>
    <n v="13.4"/>
    <n v="30"/>
    <n v="26.8"/>
    <n v="98"/>
    <n v="77"/>
    <s v="MF"/>
    <s v="VSP"/>
    <x v="1"/>
    <s v="BF17735"/>
    <m/>
  </r>
  <r>
    <s v="Zambia"/>
    <s v="Chisamba"/>
    <s v="Hotill Farm 2"/>
    <n v="2"/>
    <n v="12"/>
    <n v="3"/>
    <n v="2023"/>
    <s v="CHI248"/>
    <x v="1"/>
    <s v="A"/>
    <s v="F"/>
    <n v="15.3"/>
    <n v="13.3"/>
    <n v="9"/>
    <n v="5.9"/>
    <n v="5.6"/>
    <n v="8.9"/>
    <n v="18.5"/>
    <n v="8.8000000000000007"/>
    <n v="63"/>
    <n v="37"/>
    <s v="MF"/>
    <s v="VSP"/>
    <x v="1"/>
    <s v="Y03483"/>
    <m/>
  </r>
  <r>
    <s v="Zambia"/>
    <s v="Chisamba"/>
    <s v="Hotill Farm 2"/>
    <n v="2"/>
    <n v="12"/>
    <n v="3"/>
    <n v="2023"/>
    <s v="CHI249"/>
    <x v="30"/>
    <s v="A"/>
    <s v="U"/>
    <n v="27.2"/>
    <n v="16.7"/>
    <n v="12.9"/>
    <n v="5.5"/>
    <n v="5.4"/>
    <n v="13.8"/>
    <n v="27.2"/>
    <n v="25.2"/>
    <n v="91"/>
    <n v="72"/>
    <s v="MF"/>
    <s v="N"/>
    <x v="0"/>
    <s v="BF17736"/>
    <m/>
  </r>
  <r>
    <s v="Zambia"/>
    <s v="Chisamba"/>
    <s v="Hotill Farm 2"/>
    <n v="2"/>
    <n v="12"/>
    <n v="3"/>
    <n v="2023"/>
    <s v="CHI250"/>
    <x v="29"/>
    <s v="A"/>
    <s v="U"/>
    <n v="9.1"/>
    <n v="12.2"/>
    <n v="9.4"/>
    <n v="3.3"/>
    <n v="3"/>
    <n v="7.6"/>
    <n v="22.7"/>
    <s v="-"/>
    <n v="61"/>
    <n v="53"/>
    <s v="MF"/>
    <s v="Y"/>
    <x v="1"/>
    <s v="AS54025"/>
    <s v="POSSIBLE EURASIAN"/>
  </r>
  <r>
    <s v="Zambia"/>
    <s v="Chisamba"/>
    <s v="Hotill Farm 2"/>
    <n v="2"/>
    <n v="12"/>
    <n v="3"/>
    <n v="2023"/>
    <s v="CHI251"/>
    <x v="43"/>
    <s v="A"/>
    <s v="F"/>
    <n v="14.3"/>
    <n v="12.5"/>
    <n v="7.9"/>
    <n v="5.7"/>
    <n v="7"/>
    <n v="9.5"/>
    <n v="17.7"/>
    <n v="11.5"/>
    <n v="63"/>
    <n v="33"/>
    <s v="MF"/>
    <s v="Y"/>
    <x v="1"/>
    <s v="Y03484"/>
    <s v="MOULTING"/>
  </r>
  <r>
    <s v="Zambia"/>
    <s v="Chisamba"/>
    <s v="Hotill Farm 2"/>
    <n v="2"/>
    <n v="12"/>
    <n v="3"/>
    <n v="2023"/>
    <s v="CHI252"/>
    <x v="29"/>
    <s v="A"/>
    <s v="U"/>
    <n v="11.8"/>
    <n v="12.5"/>
    <n v="9.6999999999999993"/>
    <n v="3.6"/>
    <n v="3.1"/>
    <n v="8"/>
    <n v="22.8"/>
    <s v="-"/>
    <n v="62"/>
    <n v="56"/>
    <s v="MF"/>
    <s v="N"/>
    <x v="0"/>
    <s v="AS54026"/>
    <s v="POSSIBLE EURASIAN"/>
  </r>
  <r>
    <s v="Zambia"/>
    <s v="Chisamba"/>
    <s v="Hotill Farm 2"/>
    <n v="2"/>
    <n v="12"/>
    <n v="3"/>
    <n v="2023"/>
    <s v="CHI253"/>
    <x v="43"/>
    <s v="A"/>
    <s v="F"/>
    <n v="17.600000000000001"/>
    <n v="14.5"/>
    <n v="9.1999999999999993"/>
    <n v="6.5"/>
    <n v="7"/>
    <n v="9.3000000000000007"/>
    <n v="19.7"/>
    <n v="11.1"/>
    <n v="66"/>
    <n v="36"/>
    <s v="MF"/>
    <s v="N"/>
    <x v="0"/>
    <s v="Y03485"/>
    <m/>
  </r>
  <r>
    <s v="Zambia"/>
    <s v="Chisamba"/>
    <s v="Hotill Farm 2"/>
    <n v="2"/>
    <n v="12"/>
    <n v="3"/>
    <n v="2023"/>
    <s v="CHI254"/>
    <x v="43"/>
    <s v="A"/>
    <s v="F"/>
    <n v="14.7"/>
    <n v="13.7"/>
    <n v="9.1999999999999993"/>
    <n v="6.3"/>
    <n v="7"/>
    <n v="9.4"/>
    <n v="19"/>
    <s v="-"/>
    <n v="62"/>
    <n v="36"/>
    <s v="MF"/>
    <s v="N"/>
    <x v="0"/>
    <s v="Y03486"/>
    <s v="MOULTING HEAVILY"/>
  </r>
  <r>
    <s v="Zambia"/>
    <s v="Chisamba"/>
    <s v="Hotill Farm 2"/>
    <n v="2"/>
    <n v="12"/>
    <n v="3"/>
    <n v="2023"/>
    <s v="CHI255"/>
    <x v="47"/>
    <s v="A"/>
    <s v="U"/>
    <n v="30.4"/>
    <n v="20.6"/>
    <n v="11.4"/>
    <n v="8.3000000000000007"/>
    <n v="3.2"/>
    <n v="3.4"/>
    <n v="26"/>
    <n v="25.7"/>
    <n v="88"/>
    <n v="66"/>
    <s v="MF"/>
    <s v="Y"/>
    <x v="1"/>
    <s v="AS54027"/>
    <m/>
  </r>
  <r>
    <s v="Zambia"/>
    <s v="Chisamba"/>
    <s v="Hotill Farm 2"/>
    <n v="2"/>
    <n v="12"/>
    <n v="3"/>
    <n v="2023"/>
    <s v="CHI256"/>
    <x v="43"/>
    <s v="A"/>
    <s v="M"/>
    <n v="17.8"/>
    <n v="14"/>
    <n v="9.4"/>
    <n v="5.6"/>
    <n v="6.7"/>
    <n v="8.3000000000000007"/>
    <n v="19.7"/>
    <n v="9.6"/>
    <n v="67"/>
    <n v="37"/>
    <s v="MF"/>
    <s v="N"/>
    <x v="0"/>
    <s v="FC45037"/>
    <m/>
  </r>
  <r>
    <s v="Zambia"/>
    <s v="Chisamba"/>
    <s v="Hotill Farm 2"/>
    <n v="2"/>
    <n v="12"/>
    <n v="3"/>
    <n v="2023"/>
    <s v="CHI257"/>
    <x v="30"/>
    <s v="A"/>
    <s v="U"/>
    <n v="28"/>
    <n v="17.100000000000001"/>
    <n v="13"/>
    <n v="5.7"/>
    <n v="5.5"/>
    <n v="13.2"/>
    <n v="28.3"/>
    <n v="24.2"/>
    <n v="93"/>
    <n v="73"/>
    <s v="MF"/>
    <s v="Y"/>
    <x v="1"/>
    <s v="BF17737"/>
    <s v="MOULTING"/>
  </r>
  <r>
    <s v="Zambia"/>
    <s v="Chisamba"/>
    <s v="Hotill Farm 2"/>
    <n v="2"/>
    <n v="12"/>
    <n v="3"/>
    <n v="2023"/>
    <s v="CHI258"/>
    <x v="21"/>
    <s v="J"/>
    <s v="U"/>
    <n v="8.4"/>
    <n v="17.5"/>
    <n v="14.2"/>
    <n v="3.4"/>
    <n v="2.7"/>
    <n v="7.9"/>
    <n v="15.3"/>
    <n v="9"/>
    <n v="57"/>
    <n v="40"/>
    <s v="MF"/>
    <s v="N"/>
    <x v="0"/>
    <s v="N29858"/>
    <m/>
  </r>
  <r>
    <s v="Zambia"/>
    <s v="Chisamba"/>
    <s v="Hotill Farm 2"/>
    <n v="2"/>
    <n v="12"/>
    <n v="3"/>
    <n v="2023"/>
    <s v="CHI259"/>
    <x v="38"/>
    <s v="A"/>
    <s v="U"/>
    <n v="10.9"/>
    <n v="11.8"/>
    <n v="9.1"/>
    <n v="2.9"/>
    <n v="2.9"/>
    <n v="9"/>
    <n v="20.100000000000001"/>
    <n v="3.9"/>
    <n v="61"/>
    <n v="23"/>
    <s v="MF"/>
    <s v="N"/>
    <x v="0"/>
    <s v="AS54208"/>
    <m/>
  </r>
  <r>
    <s v="Zambia"/>
    <s v="Chisamba"/>
    <s v="Hotill Farm 2"/>
    <n v="2"/>
    <n v="12"/>
    <n v="3"/>
    <n v="2023"/>
    <s v="CHI260"/>
    <x v="16"/>
    <s v="A"/>
    <s v="M"/>
    <n v="25.3"/>
    <n v="17.100000000000001"/>
    <n v="12"/>
    <n v="5.7"/>
    <n v="5.7"/>
    <n v="13.3"/>
    <n v="22.8"/>
    <n v="11.5"/>
    <n v="81"/>
    <n v="65"/>
    <s v="MF"/>
    <s v="N"/>
    <x v="0"/>
    <s v="FC54038"/>
    <m/>
  </r>
  <r>
    <s v="Zambia"/>
    <s v="Chisamba"/>
    <s v="Hotill Farm 2"/>
    <n v="2"/>
    <n v="12"/>
    <n v="3"/>
    <n v="2023"/>
    <s v="CHI261"/>
    <x v="2"/>
    <s v="A"/>
    <s v="U"/>
    <n v="8.8000000000000007"/>
    <n v="10.9"/>
    <n v="8.3000000000000007"/>
    <n v="2.8"/>
    <n v="3"/>
    <n v="9.5"/>
    <n v="20.9"/>
    <n v="5.8"/>
    <n v="51"/>
    <n v="51"/>
    <s v="MF"/>
    <s v="Y"/>
    <x v="1"/>
    <s v="N29859"/>
    <m/>
  </r>
  <r>
    <s v="Zambia"/>
    <s v="Chisamba"/>
    <s v="Hotill Farm 2"/>
    <n v="2"/>
    <n v="12"/>
    <n v="3"/>
    <n v="2023"/>
    <s v="CHI262"/>
    <x v="47"/>
    <s v="A"/>
    <s v="U"/>
    <n v="31.5"/>
    <n v="10.8"/>
    <n v="8.8000000000000007"/>
    <n v="3.2"/>
    <n v="3.5"/>
    <n v="8.6999999999999993"/>
    <n v="28.3"/>
    <n v="29"/>
    <n v="89"/>
    <n v="71"/>
    <s v="MF"/>
    <s v="Y"/>
    <x v="1"/>
    <s v="AS54209"/>
    <s v="PHOTO OF TUBE SHOWS CHI261. IT WAS CORRECTED TO CHI 262 AFTER"/>
  </r>
  <r>
    <s v="Zambia"/>
    <s v="Chisamba"/>
    <s v="Hotill Farm 2"/>
    <n v="2"/>
    <n v="12"/>
    <n v="3"/>
    <n v="2023"/>
    <s v="CHI263"/>
    <x v="6"/>
    <s v="J"/>
    <s v="U"/>
    <n v="9.1"/>
    <n v="9.5"/>
    <n v="6.5"/>
    <n v="4.2"/>
    <n v="4.8"/>
    <n v="6.4"/>
    <n v="12.3"/>
    <n v="7"/>
    <n v="48"/>
    <n v="37"/>
    <s v="MF"/>
    <s v="Y"/>
    <x v="1"/>
    <s v="N29860"/>
    <s v="PHOTO OF TUBE SHOWS CHI262. IT WAS CORRECTED TO CHI 263 AFTER"/>
  </r>
  <r>
    <s v="Zambia"/>
    <s v="Chisamba"/>
    <s v="Hotill Farm 2"/>
    <n v="2"/>
    <n v="12"/>
    <n v="3"/>
    <n v="2023"/>
    <s v="CHI264"/>
    <x v="6"/>
    <s v="J"/>
    <s v="U"/>
    <n v="8.1999999999999993"/>
    <n v="9.6999999999999993"/>
    <n v="5.8"/>
    <n v="5"/>
    <n v="4.9000000000000004"/>
    <n v="6.4"/>
    <n v="12"/>
    <n v="7.4"/>
    <n v="48"/>
    <n v="36"/>
    <s v="MF"/>
    <s v="Y"/>
    <x v="1"/>
    <s v="N29861"/>
    <m/>
  </r>
  <r>
    <s v="Zambia"/>
    <s v="Chisamba"/>
    <s v="Hotill Farm 2"/>
    <n v="2"/>
    <n v="12"/>
    <n v="3"/>
    <n v="2023"/>
    <s v="CHI265"/>
    <x v="48"/>
    <s v="A"/>
    <s v="U"/>
    <n v="11.2"/>
    <n v="9.8000000000000007"/>
    <n v="8.1"/>
    <n v="2.5"/>
    <n v="2.8"/>
    <n v="7.6"/>
    <n v="21.9"/>
    <n v="14.8"/>
    <n v="67"/>
    <n v="48"/>
    <s v="MF"/>
    <s v="Y"/>
    <x v="1"/>
    <s v="AS54210"/>
    <m/>
  </r>
  <r>
    <s v="Zambia"/>
    <s v="Chisamba"/>
    <s v="Hotill Farm 2"/>
    <n v="2"/>
    <n v="12"/>
    <n v="3"/>
    <n v="2023"/>
    <s v="CHI266"/>
    <x v="43"/>
    <s v="J"/>
    <s v="F"/>
    <n v="18.3"/>
    <n v="12.3"/>
    <n v="8.3000000000000007"/>
    <n v="5.7"/>
    <n v="6.6"/>
    <n v="9.3000000000000007"/>
    <n v="19.399999999999999"/>
    <n v="10.8"/>
    <n v="68"/>
    <n v="37"/>
    <s v="MF"/>
    <s v="Y"/>
    <x v="1"/>
    <s v="Y03487"/>
    <m/>
  </r>
  <r>
    <s v="Zambia"/>
    <s v="Chisamba"/>
    <s v="Hotill Farm 2"/>
    <n v="2"/>
    <n v="12"/>
    <n v="3"/>
    <n v="2023"/>
    <s v="CHI267"/>
    <x v="43"/>
    <s v="A"/>
    <s v="M"/>
    <n v="18.5"/>
    <n v="14.9"/>
    <n v="10.1"/>
    <n v="5.3"/>
    <n v="7.4"/>
    <n v="8.6999999999999993"/>
    <n v="20.8"/>
    <n v="8.3000000000000007"/>
    <n v="68"/>
    <n v="37"/>
    <s v="MF"/>
    <s v="N"/>
    <x v="0"/>
    <s v="AS54211"/>
    <m/>
  </r>
  <r>
    <s v="Zambia"/>
    <s v="Chisamba"/>
    <s v="Hotill Farm 2"/>
    <n v="2"/>
    <n v="12"/>
    <n v="3"/>
    <n v="2023"/>
    <s v="CHI268"/>
    <x v="49"/>
    <s v="A"/>
    <s v="U"/>
    <n v="7.1"/>
    <n v="9.4"/>
    <n v="6.5"/>
    <n v="2.2000000000000002"/>
    <n v="2.8"/>
    <n v="7.2"/>
    <n v="17.5"/>
    <n v="6"/>
    <n v="48"/>
    <n v="36"/>
    <s v="MF"/>
    <s v="Y"/>
    <x v="1"/>
    <s v="N29862"/>
    <m/>
  </r>
  <r>
    <s v="Zambia"/>
    <s v="Chisamba"/>
    <s v="Hotill Farm 2"/>
    <n v="2"/>
    <n v="12"/>
    <n v="3"/>
    <n v="2023"/>
    <s v="CHI269"/>
    <x v="10"/>
    <s v="A"/>
    <s v="F"/>
    <n v="14.4"/>
    <n v="11.9"/>
    <n v="9.3000000000000007"/>
    <n v="5.3"/>
    <n v="5.4"/>
    <n v="6.8"/>
    <n v="17.2"/>
    <n v="5.9"/>
    <n v="58"/>
    <n v="48"/>
    <s v="MF"/>
    <s v="Y"/>
    <x v="1"/>
    <s v="AS54212"/>
    <m/>
  </r>
  <r>
    <s v="Zambia"/>
    <s v="Chisamba"/>
    <s v="Hotill Farm 2"/>
    <n v="2"/>
    <n v="12"/>
    <n v="3"/>
    <n v="2023"/>
    <s v="CHI270"/>
    <x v="31"/>
    <s v="A"/>
    <s v="F"/>
    <n v="10"/>
    <n v="16.2"/>
    <n v="15.4"/>
    <n v="3.3"/>
    <n v="2.9"/>
    <n v="7.8"/>
    <n v="15.6"/>
    <n v="7.9"/>
    <n v="61"/>
    <n v="44"/>
    <s v="MF"/>
    <s v="N"/>
    <x v="0"/>
    <s v="N29863"/>
    <m/>
  </r>
  <r>
    <s v="Zambia"/>
    <s v="Chisamba"/>
    <s v="Hotill Farm 2"/>
    <n v="2"/>
    <n v="12"/>
    <n v="3"/>
    <n v="2023"/>
    <s v="CHI271"/>
    <x v="31"/>
    <s v="A"/>
    <s v="M"/>
    <n v="9"/>
    <n v="17.8"/>
    <n v="16"/>
    <n v="3.4"/>
    <n v="2.8"/>
    <n v="7"/>
    <n v="15.6"/>
    <n v="8.4"/>
    <n v="64"/>
    <n v="47"/>
    <s v="MF"/>
    <s v="N"/>
    <x v="0"/>
    <s v="N29864"/>
    <m/>
  </r>
  <r>
    <s v="Zambia"/>
    <s v="Chisamba"/>
    <s v="Hotill Farm 2"/>
    <n v="2"/>
    <n v="12"/>
    <n v="3"/>
    <n v="2023"/>
    <s v="CHI272"/>
    <x v="43"/>
    <s v="A"/>
    <s v="F"/>
    <n v="15.4"/>
    <n v="14.3"/>
    <n v="9.1999999999999993"/>
    <n v="5.5"/>
    <n v="7"/>
    <n v="9.1999999999999993"/>
    <n v="19"/>
    <n v="9.6999999999999993"/>
    <n v="66"/>
    <n v="45"/>
    <s v="MF"/>
    <s v="Y"/>
    <x v="1"/>
    <s v="Y03488"/>
    <m/>
  </r>
  <r>
    <s v="Zambia"/>
    <s v="Chisamba"/>
    <s v="Hotill Farm 2"/>
    <n v="2"/>
    <n v="12"/>
    <n v="3"/>
    <n v="2023"/>
    <s v="CHI273"/>
    <x v="30"/>
    <s v="A"/>
    <s v="U"/>
    <n v="28.8"/>
    <n v="16.399999999999999"/>
    <n v="12.6"/>
    <n v="4.2"/>
    <n v="5.3"/>
    <n v="13.4"/>
    <n v="28.5"/>
    <n v="25.2"/>
    <n v="94"/>
    <n v="76"/>
    <s v="MF"/>
    <s v="Y"/>
    <x v="1"/>
    <s v="BF17738"/>
    <m/>
  </r>
  <r>
    <s v="Zambia"/>
    <s v="Chisamba"/>
    <s v="Hotill Farm 2"/>
    <n v="2"/>
    <n v="12"/>
    <n v="3"/>
    <n v="2023"/>
    <s v="CHI274"/>
    <x v="50"/>
    <s v="J"/>
    <s v="U"/>
    <n v="31.4"/>
    <n v="13.1"/>
    <n v="10.5"/>
    <n v="4.2"/>
    <n v="4.3"/>
    <n v="12.3"/>
    <n v="29.7"/>
    <n v="7.3"/>
    <n v="92"/>
    <n v="86"/>
    <s v="MF"/>
    <s v="Y"/>
    <x v="1"/>
    <s v="-"/>
    <s v="BIRD DIED IN NET"/>
  </r>
  <r>
    <s v="Zambia"/>
    <s v="Chisamba"/>
    <s v="Hotill Farm 2"/>
    <n v="2"/>
    <n v="12"/>
    <n v="3"/>
    <n v="2023"/>
    <s v="CHI275"/>
    <x v="43"/>
    <s v="J"/>
    <s v="F"/>
    <n v="18.7"/>
    <n v="12.3"/>
    <n v="8.3000000000000007"/>
    <n v="5.7"/>
    <n v="6.4"/>
    <n v="8.3000000000000007"/>
    <n v="19.5"/>
    <n v="10.4"/>
    <n v="69"/>
    <n v="39"/>
    <s v="MF"/>
    <s v="Y"/>
    <x v="1"/>
    <s v="Y03489"/>
    <m/>
  </r>
  <r>
    <s v="Zambia"/>
    <s v="Chisamba"/>
    <s v="Hotill Farm 2"/>
    <n v="2"/>
    <n v="12"/>
    <n v="3"/>
    <n v="2023"/>
    <s v="CHI276"/>
    <x v="29"/>
    <s v="A"/>
    <s v="U"/>
    <n v="12"/>
    <n v="12.2"/>
    <n v="8.9"/>
    <n v="3.3"/>
    <n v="3.1"/>
    <n v="9"/>
    <n v="23"/>
    <s v="-"/>
    <n v="70"/>
    <s v="-"/>
    <s v="MF"/>
    <s v="Y"/>
    <x v="1"/>
    <s v="AS54213"/>
    <m/>
  </r>
  <r>
    <s v="Zambia"/>
    <s v="Chisamba"/>
    <s v="Hotill Farm 2"/>
    <n v="2"/>
    <n v="12"/>
    <n v="3"/>
    <n v="2023"/>
    <s v="CHI277"/>
    <x v="48"/>
    <s v="A"/>
    <s v="U"/>
    <n v="11"/>
    <n v="10.4"/>
    <n v="8.1"/>
    <n v="2.1"/>
    <n v="2.7"/>
    <n v="8"/>
    <n v="21"/>
    <s v="-"/>
    <n v="60"/>
    <n v="51"/>
    <s v="MF"/>
    <s v="Y"/>
    <x v="1"/>
    <s v="AS54214"/>
    <m/>
  </r>
  <r>
    <s v="Zambia"/>
    <s v="Chisamba"/>
    <s v="Hotill Farm 2"/>
    <n v="2"/>
    <n v="12"/>
    <n v="3"/>
    <n v="2023"/>
    <s v="CHI278"/>
    <x v="29"/>
    <s v="A"/>
    <s v="U"/>
    <n v="11.7"/>
    <n v="12.9"/>
    <n v="8.1"/>
    <n v="3"/>
    <n v="3"/>
    <n v="8"/>
    <n v="22.1"/>
    <s v="-"/>
    <n v="60"/>
    <n v="44"/>
    <s v="MF"/>
    <s v="Y"/>
    <x v="1"/>
    <s v="AS54215"/>
    <m/>
  </r>
  <r>
    <s v="Zambia"/>
    <s v="Chisamba"/>
    <s v="Hotill Farm 2"/>
    <n v="2"/>
    <n v="12"/>
    <n v="3"/>
    <n v="2023"/>
    <s v="CHI279"/>
    <x v="48"/>
    <s v="A"/>
    <s v="U"/>
    <n v="10.8"/>
    <n v="10.4"/>
    <n v="8.1999999999999993"/>
    <n v="2.6"/>
    <n v="2.7"/>
    <n v="9.1999999999999993"/>
    <n v="21.5"/>
    <s v="-"/>
    <n v="60"/>
    <n v="49"/>
    <s v="MF"/>
    <s v="Y"/>
    <x v="1"/>
    <s v="AS54216"/>
    <m/>
  </r>
  <r>
    <s v="Zambia"/>
    <s v="Chisamba"/>
    <s v="Hotill Farm 2"/>
    <n v="2"/>
    <n v="12"/>
    <n v="3"/>
    <n v="2023"/>
    <s v="CHI280"/>
    <x v="31"/>
    <s v="A"/>
    <s v="F"/>
    <n v="9.3000000000000007"/>
    <n v="17.2"/>
    <n v="14.9"/>
    <n v="3.6"/>
    <n v="3.2"/>
    <n v="8.1999999999999993"/>
    <n v="16.2"/>
    <n v="7.8"/>
    <n v="58"/>
    <n v="42"/>
    <s v="MF"/>
    <s v="N"/>
    <x v="0"/>
    <s v="N29875"/>
    <m/>
  </r>
  <r>
    <s v="Zambia"/>
    <s v="Chisamba"/>
    <s v="Hotill Farm 2"/>
    <n v="2"/>
    <n v="12"/>
    <n v="3"/>
    <n v="2023"/>
    <s v="CHI281"/>
    <x v="29"/>
    <s v="J"/>
    <s v="U"/>
    <n v="10.5"/>
    <n v="11.5"/>
    <n v="7.9"/>
    <n v="3.3"/>
    <n v="2.9"/>
    <n v="8.3000000000000007"/>
    <n v="23"/>
    <s v="-"/>
    <n v="58"/>
    <n v="33"/>
    <s v="MF"/>
    <s v="Y"/>
    <x v="1"/>
    <s v="AS54217"/>
    <m/>
  </r>
  <r>
    <s v="Zambia"/>
    <s v="Chisamba"/>
    <s v="Hotill Farm 2"/>
    <n v="2"/>
    <n v="12"/>
    <n v="3"/>
    <n v="2023"/>
    <s v="CHI282"/>
    <x v="10"/>
    <s v="A"/>
    <s v="M"/>
    <n v="15.2"/>
    <n v="12.8"/>
    <n v="9.1"/>
    <n v="5.2"/>
    <n v="5.0999999999999996"/>
    <n v="7.3"/>
    <n v="17.3"/>
    <n v="9.4"/>
    <n v="58"/>
    <n v="50"/>
    <s v="MF"/>
    <s v="Y"/>
    <x v="1"/>
    <s v="AS54218"/>
    <m/>
  </r>
  <r>
    <s v="Zambia"/>
    <s v="Chisamba"/>
    <s v="Hotill Farm 2"/>
    <n v="2"/>
    <n v="12"/>
    <n v="3"/>
    <n v="2023"/>
    <s v="CHI283"/>
    <x v="4"/>
    <s v="A"/>
    <s v="U"/>
    <n v="15"/>
    <n v="12.3"/>
    <n v="9"/>
    <n v="2.7"/>
    <n v="3.1"/>
    <n v="9.1999999999999993"/>
    <n v="22.7"/>
    <n v="2.9"/>
    <n v="58"/>
    <n v="56"/>
    <s v="MF"/>
    <s v="N"/>
    <x v="0"/>
    <s v="AS54219"/>
    <m/>
  </r>
  <r>
    <s v="Zambia"/>
    <s v="Chisamba"/>
    <s v="Hotill Farm 2"/>
    <n v="2"/>
    <n v="12"/>
    <n v="3"/>
    <n v="2023"/>
    <s v="CHI284"/>
    <x v="31"/>
    <s v="A"/>
    <s v="F"/>
    <n v="8.1"/>
    <n v="16.7"/>
    <n v="14.4"/>
    <n v="3.3"/>
    <n v="2.9"/>
    <n v="7.8"/>
    <n v="14.7"/>
    <n v="6.1"/>
    <n v="59"/>
    <n v="42"/>
    <s v="MF"/>
    <s v="N"/>
    <x v="0"/>
    <s v="N29866"/>
    <m/>
  </r>
  <r>
    <s v="Zambia"/>
    <s v="Chisamba"/>
    <s v="Hotill Farm 2"/>
    <n v="2"/>
    <n v="12"/>
    <n v="3"/>
    <n v="2023"/>
    <s v="CHI285"/>
    <x v="13"/>
    <s v="A"/>
    <s v="U"/>
    <n v="43.3"/>
    <n v="19.8"/>
    <n v="11.4"/>
    <n v="5.3"/>
    <n v="7.2"/>
    <n v="13.3"/>
    <n v="33"/>
    <n v="7.5"/>
    <n v="91"/>
    <n v="97"/>
    <s v="MF"/>
    <s v="N"/>
    <x v="0"/>
    <s v="4-61254"/>
    <s v="MOULTING"/>
  </r>
  <r>
    <s v="Zambia"/>
    <s v="Chisamba"/>
    <s v="Hotill Farm 2"/>
    <n v="2"/>
    <n v="12"/>
    <n v="3"/>
    <n v="2023"/>
    <s v="CHI286"/>
    <x v="10"/>
    <s v="A"/>
    <s v="F"/>
    <n v="15"/>
    <n v="12"/>
    <n v="9.4"/>
    <n v="5.2"/>
    <n v="5.2"/>
    <n v="8.1999999999999993"/>
    <n v="17.600000000000001"/>
    <n v="5.6"/>
    <n v="59"/>
    <n v="49"/>
    <s v="MF"/>
    <s v="Y"/>
    <x v="1"/>
    <s v="AS54220"/>
    <m/>
  </r>
  <r>
    <s v="Zambia"/>
    <s v="Chisamba"/>
    <s v="Hotill Farm 2"/>
    <n v="2"/>
    <n v="12"/>
    <n v="3"/>
    <n v="2023"/>
    <s v="CHI287"/>
    <x v="1"/>
    <s v="A"/>
    <s v="M"/>
    <n v="21.1"/>
    <n v="13.7"/>
    <n v="9"/>
    <n v="5.7"/>
    <n v="7"/>
    <n v="10.5"/>
    <n v="22"/>
    <n v="8"/>
    <n v="71"/>
    <n v="51"/>
    <s v="MF"/>
    <s v="Y"/>
    <x v="1"/>
    <s v="FC45039"/>
    <m/>
  </r>
  <r>
    <s v="Zambia"/>
    <s v="Chisamba"/>
    <s v="Hotill Farm 2"/>
    <n v="2"/>
    <n v="12"/>
    <n v="3"/>
    <n v="2023"/>
    <s v="CHI288"/>
    <x v="19"/>
    <s v="A"/>
    <s v="M"/>
    <n v="19.3"/>
    <n v="14.8"/>
    <n v="9.9"/>
    <n v="5.6"/>
    <n v="7.3"/>
    <n v="8.8000000000000007"/>
    <n v="22.5"/>
    <n v="13"/>
    <n v="75"/>
    <n v="21.9"/>
    <s v="JT"/>
    <s v="Y"/>
    <x v="1"/>
    <s v="Y03490"/>
    <m/>
  </r>
  <r>
    <s v="Zambia"/>
    <s v="Chisamba"/>
    <s v="Hotill Farm 2"/>
    <n v="2"/>
    <n v="12"/>
    <n v="3"/>
    <n v="2023"/>
    <s v="CHI289"/>
    <x v="1"/>
    <s v="A"/>
    <s v="F"/>
    <n v="15.3"/>
    <n v="14.1"/>
    <n v="9.1"/>
    <n v="5.8"/>
    <n v="7.2"/>
    <n v="9.6999999999999993"/>
    <n v="20.3"/>
    <n v="10"/>
    <n v="62"/>
    <n v="43"/>
    <s v="JT"/>
    <s v="Y"/>
    <x v="1"/>
    <s v="Y03491"/>
    <m/>
  </r>
  <r>
    <s v="Zambia"/>
    <s v="Chisamba"/>
    <s v="Hotill Farm 2"/>
    <n v="2"/>
    <n v="12"/>
    <n v="3"/>
    <n v="2023"/>
    <s v="CHI290"/>
    <x v="51"/>
    <s v="A"/>
    <s v="M"/>
    <n v="9.6999999999999993"/>
    <n v="10.6"/>
    <n v="8.5"/>
    <n v="5.0999999999999996"/>
    <n v="5.6"/>
    <n v="7.5"/>
    <n v="14.6"/>
    <n v="2.7"/>
    <n v="47"/>
    <n v="43"/>
    <s v="MF"/>
    <s v="Y"/>
    <x v="1"/>
    <s v="N29867"/>
    <m/>
  </r>
  <r>
    <s v="Zambia"/>
    <s v="Chisamba"/>
    <s v="Mkunku Farm 1"/>
    <n v="1"/>
    <n v="13"/>
    <n v="3"/>
    <n v="2023"/>
    <s v="CHI291"/>
    <x v="43"/>
    <s v="A"/>
    <s v="F"/>
    <n v="16.2"/>
    <n v="9.1999999999999993"/>
    <n v="8.5"/>
    <n v="4.9000000000000004"/>
    <n v="6.5"/>
    <n v="7.6"/>
    <n v="19.3"/>
    <n v="14"/>
    <n v="62"/>
    <n v="20"/>
    <s v="MC"/>
    <s v="VSP"/>
    <x v="1"/>
    <s v="Y03492"/>
    <m/>
  </r>
  <r>
    <s v="Zambia"/>
    <s v="Chisamba"/>
    <s v="Mkunku Farm 1"/>
    <n v="1"/>
    <n v="13"/>
    <n v="3"/>
    <n v="2023"/>
    <s v="CHI292"/>
    <x v="43"/>
    <s v="A"/>
    <s v="M"/>
    <n v="19"/>
    <n v="13.9"/>
    <n v="8.6"/>
    <n v="5.9"/>
    <n v="7.8"/>
    <n v="9.9"/>
    <n v="19.100000000000001"/>
    <n v="11.3"/>
    <n v="69"/>
    <n v="28"/>
    <s v="MF"/>
    <s v="VSP"/>
    <x v="1"/>
    <s v="FC45039"/>
    <m/>
  </r>
  <r>
    <s v="Zambia"/>
    <s v="Chisamba"/>
    <s v="Mkunku Farm 1"/>
    <n v="1"/>
    <n v="13"/>
    <n v="3"/>
    <n v="2023"/>
    <s v="CHI293"/>
    <x v="8"/>
    <s v="J"/>
    <s v="U"/>
    <n v="19.8"/>
    <n v="14.8"/>
    <n v="9.9"/>
    <n v="6.4"/>
    <n v="7.3"/>
    <n v="9.6999999999999993"/>
    <n v="19.899999999999999"/>
    <s v="-"/>
    <n v="71"/>
    <n v="49"/>
    <s v="MF"/>
    <s v="N"/>
    <x v="0"/>
    <s v="Y03493"/>
    <s v="MOULTING"/>
  </r>
  <r>
    <s v="Zambia"/>
    <s v="Chisamba"/>
    <s v="Mkunku Farm 1"/>
    <n v="1"/>
    <n v="13"/>
    <n v="3"/>
    <n v="2023"/>
    <s v="CHI294"/>
    <x v="18"/>
    <s v="A"/>
    <s v="M"/>
    <n v="23.2"/>
    <n v="15.1"/>
    <n v="10.1"/>
    <n v="6.2"/>
    <n v="7.2"/>
    <n v="10.1"/>
    <n v="22.3"/>
    <n v="16"/>
    <n v="79"/>
    <n v="52"/>
    <s v="MC"/>
    <s v="N"/>
    <x v="0"/>
    <s v="FC45040"/>
    <m/>
  </r>
  <r>
    <s v="Zambia"/>
    <s v="Chisamba"/>
    <s v="Mkunku Farm 1"/>
    <n v="1"/>
    <n v="13"/>
    <n v="3"/>
    <n v="2023"/>
    <s v="CHI295"/>
    <x v="18"/>
    <s v="A"/>
    <s v="M"/>
    <n v="22.7"/>
    <n v="16.5"/>
    <n v="10.6"/>
    <n v="7"/>
    <n v="7.8"/>
    <n v="10.4"/>
    <n v="22"/>
    <n v="11.1"/>
    <n v="76"/>
    <n v="50"/>
    <s v="MF"/>
    <s v="N"/>
    <x v="0"/>
    <s v="FC45041"/>
    <m/>
  </r>
  <r>
    <s v="Zambia"/>
    <s v="Chisamba"/>
    <s v="Mkunku Farm 1"/>
    <n v="1"/>
    <n v="13"/>
    <n v="3"/>
    <n v="2023"/>
    <s v="CHI296"/>
    <x v="4"/>
    <s v="A"/>
    <s v="U"/>
    <n v="14"/>
    <n v="12.5"/>
    <n v="9.1"/>
    <n v="2.5"/>
    <n v="3.1"/>
    <n v="9.8000000000000007"/>
    <n v="22.9"/>
    <n v="7"/>
    <n v="57"/>
    <n v="58"/>
    <s v="MC"/>
    <s v="N"/>
    <x v="0"/>
    <s v="AS54222"/>
    <m/>
  </r>
  <r>
    <s v="Zambia"/>
    <s v="Chisamba"/>
    <s v="Mkunku Farm 1"/>
    <n v="1"/>
    <n v="13"/>
    <n v="3"/>
    <n v="2023"/>
    <s v="CHI297"/>
    <x v="47"/>
    <s v="A"/>
    <s v="U"/>
    <n v="31.7"/>
    <n v="9.5"/>
    <n v="12.9"/>
    <n v="3.9"/>
    <n v="4.0999999999999996"/>
    <n v="10"/>
    <n v="27.5"/>
    <n v="26"/>
    <n v="87"/>
    <n v="65"/>
    <s v="MF"/>
    <s v="VSP"/>
    <x v="1"/>
    <s v="BF17739"/>
    <s v="PHOTO SHOWS CHI292 BUT WAS CORRECTED TO CHI297"/>
  </r>
  <r>
    <s v="Zambia"/>
    <s v="Chisamba"/>
    <s v="Mkunku Farm 1"/>
    <n v="1"/>
    <n v="13"/>
    <n v="3"/>
    <n v="2023"/>
    <s v="CHI298"/>
    <x v="18"/>
    <s v="A"/>
    <s v="M"/>
    <n v="24.3"/>
    <n v="15.3"/>
    <n v="11.7"/>
    <n v="6.1"/>
    <n v="7.6"/>
    <n v="10.7"/>
    <n v="20.7"/>
    <n v="10.4"/>
    <n v="77"/>
    <n v="57"/>
    <s v="MF"/>
    <s v="Y"/>
    <x v="1"/>
    <s v="FC45042"/>
    <m/>
  </r>
  <r>
    <s v="Zambia"/>
    <s v="Chisamba"/>
    <s v="Mkunku Farm 1"/>
    <n v="1"/>
    <n v="13"/>
    <n v="3"/>
    <n v="2023"/>
    <s v="CHI299"/>
    <x v="45"/>
    <s v="A"/>
    <s v="U"/>
    <n v="11.2"/>
    <n v="13.1"/>
    <n v="9.5"/>
    <n v="3.1"/>
    <n v="2.4"/>
    <n v="9.1"/>
    <n v="23.1"/>
    <n v="6"/>
    <n v="55"/>
    <n v="41"/>
    <s v="MC"/>
    <s v="VSP"/>
    <x v="1"/>
    <s v="AS54223"/>
    <m/>
  </r>
  <r>
    <s v="Zambia"/>
    <s v="Chisamba"/>
    <s v="Mkunku Farm 1"/>
    <n v="1"/>
    <n v="13"/>
    <n v="3"/>
    <n v="2023"/>
    <s v="CHI300"/>
    <x v="29"/>
    <s v="A"/>
    <s v="U"/>
    <n v="11.6"/>
    <n v="12.6"/>
    <n v="9.5"/>
    <n v="3.3"/>
    <n v="3.2"/>
    <n v="8.6"/>
    <n v="22.8"/>
    <s v="-"/>
    <n v="64"/>
    <n v="51"/>
    <s v="MF"/>
    <s v="Y"/>
    <x v="1"/>
    <s v="AS54224"/>
    <s v="MOULTING"/>
  </r>
  <r>
    <s v="Zambia"/>
    <s v="Chisamba"/>
    <s v="Mkunku Farm 1"/>
    <n v="1"/>
    <n v="13"/>
    <n v="3"/>
    <n v="2023"/>
    <s v="CHI301"/>
    <x v="30"/>
    <s v="A"/>
    <s v="U"/>
    <n v="33.5"/>
    <n v="18.600000000000001"/>
    <n v="13.4"/>
    <n v="5.2"/>
    <n v="5.3"/>
    <n v="10.9"/>
    <n v="31.1"/>
    <n v="31"/>
    <n v="96"/>
    <n v="75"/>
    <s v="MC"/>
    <s v="Y"/>
    <x v="1"/>
    <s v="BF17740"/>
    <m/>
  </r>
  <r>
    <s v="Zambia"/>
    <s v="Chisamba"/>
    <s v="Mkunku Farm 1"/>
    <n v="1"/>
    <n v="13"/>
    <n v="3"/>
    <n v="2023"/>
    <s v="CHI302"/>
    <x v="8"/>
    <s v="A"/>
    <s v="M"/>
    <n v="23"/>
    <n v="18.3"/>
    <n v="12.1"/>
    <n v="5.4"/>
    <n v="5.7"/>
    <n v="11.5"/>
    <n v="21.8"/>
    <n v="10"/>
    <n v="77"/>
    <n v="64"/>
    <s v="MF"/>
    <s v="N"/>
    <x v="0"/>
    <s v="CV00977"/>
    <m/>
  </r>
  <r>
    <s v="Zambia"/>
    <s v="Chisamba"/>
    <s v="Mkunku Farm 1"/>
    <n v="1"/>
    <n v="13"/>
    <n v="3"/>
    <n v="2023"/>
    <s v="CHI303"/>
    <x v="26"/>
    <s v="A"/>
    <s v="M"/>
    <n v="44.2"/>
    <n v="19.399999999999999"/>
    <n v="13.8"/>
    <n v="7.4"/>
    <n v="8.6"/>
    <n v="11.6"/>
    <n v="26.5"/>
    <n v="13"/>
    <n v="92"/>
    <n v="67"/>
    <s v="MC"/>
    <s v="N"/>
    <x v="0"/>
    <s v="CV00978"/>
    <m/>
  </r>
  <r>
    <s v="Zambia"/>
    <s v="Chisamba"/>
    <s v="Mkunku Farm 1"/>
    <n v="1"/>
    <n v="13"/>
    <n v="3"/>
    <n v="2023"/>
    <s v="CHI304"/>
    <x v="18"/>
    <s v="A"/>
    <s v="M"/>
    <n v="24"/>
    <n v="16.100000000000001"/>
    <n v="11.6"/>
    <n v="6.4"/>
    <n v="7.5"/>
    <n v="11"/>
    <n v="21.8"/>
    <n v="11.8"/>
    <n v="75"/>
    <n v="51"/>
    <s v="MF"/>
    <s v="VSP"/>
    <x v="1"/>
    <s v="FC45043"/>
    <m/>
  </r>
  <r>
    <s v="Zambia"/>
    <s v="Chisamba"/>
    <s v="Mkunku Farm 1"/>
    <n v="1"/>
    <n v="13"/>
    <n v="3"/>
    <n v="2023"/>
    <s v="CHI305"/>
    <x v="22"/>
    <s v="A"/>
    <s v="U"/>
    <n v="6.7"/>
    <n v="11.2"/>
    <n v="6.5"/>
    <n v="2.4"/>
    <n v="2.2000000000000002"/>
    <n v="5.7"/>
    <n v="19.3"/>
    <n v="21"/>
    <n v="63"/>
    <n v="45"/>
    <s v="MC"/>
    <s v="N"/>
    <x v="0"/>
    <s v="N29868"/>
    <m/>
  </r>
  <r>
    <s v="Zambia"/>
    <s v="Chisamba"/>
    <s v="Mkunku Farm 1"/>
    <n v="1"/>
    <n v="13"/>
    <n v="3"/>
    <n v="2023"/>
    <s v="CHI306"/>
    <x v="26"/>
    <s v="A"/>
    <s v="M"/>
    <n v="41.1"/>
    <n v="20.8"/>
    <n v="13.5"/>
    <n v="8"/>
    <n v="9.1999999999999993"/>
    <n v="13.5"/>
    <n v="27.2"/>
    <n v="11.1"/>
    <n v="91"/>
    <n v="69"/>
    <s v="MF"/>
    <s v="N"/>
    <x v="0"/>
    <s v="CA48667"/>
    <m/>
  </r>
  <r>
    <s v="Zambia"/>
    <s v="Chisamba"/>
    <s v="Mkunku Farm 1"/>
    <n v="1"/>
    <n v="13"/>
    <n v="3"/>
    <n v="2023"/>
    <s v="CHI307"/>
    <x v="20"/>
    <s v="A"/>
    <s v="U"/>
    <n v="38.700000000000003"/>
    <n v="16.8"/>
    <n v="11.1"/>
    <n v="4.4000000000000004"/>
    <n v="5.4"/>
    <n v="11.5"/>
    <n v="23.5"/>
    <s v="-"/>
    <n v="96"/>
    <n v="85"/>
    <s v="MF"/>
    <s v="Y"/>
    <x v="1"/>
    <s v="BF17741"/>
    <m/>
  </r>
  <r>
    <s v="Zambia"/>
    <s v="Chisamba"/>
    <s v="Mkunku Farm 1"/>
    <n v="1"/>
    <n v="13"/>
    <n v="3"/>
    <n v="2023"/>
    <s v="CHI308"/>
    <x v="19"/>
    <s v="A"/>
    <s v="M"/>
    <n v="19.600000000000001"/>
    <n v="14.5"/>
    <n v="9.5"/>
    <n v="5.4"/>
    <n v="7.3"/>
    <n v="9.8000000000000007"/>
    <n v="20.7"/>
    <n v="11.1"/>
    <n v="73"/>
    <n v="171"/>
    <s v="MF"/>
    <s v="Y"/>
    <x v="1"/>
    <s v="FC45044"/>
    <m/>
  </r>
  <r>
    <s v="Zambia"/>
    <s v="Chisamba"/>
    <s v="Mkunku Farm 1"/>
    <n v="1"/>
    <n v="13"/>
    <n v="3"/>
    <n v="2023"/>
    <s v="CHI309"/>
    <x v="48"/>
    <s v="A"/>
    <s v="U"/>
    <n v="11.2"/>
    <n v="11.2"/>
    <n v="9.1"/>
    <n v="3"/>
    <n v="3"/>
    <n v="7.7"/>
    <n v="22.1"/>
    <n v="18.600000000000001"/>
    <n v="70"/>
    <n v="52"/>
    <s v="MF"/>
    <s v="VSP"/>
    <x v="1"/>
    <s v="AS54225"/>
    <m/>
  </r>
  <r>
    <s v="Zambia"/>
    <s v="Chisamba"/>
    <s v="Mkunku Farm 1"/>
    <n v="1"/>
    <n v="13"/>
    <n v="3"/>
    <n v="2023"/>
    <s v="CHI310"/>
    <x v="1"/>
    <s v="A"/>
    <s v="M"/>
    <n v="16"/>
    <n v="15"/>
    <n v="8.9"/>
    <n v="6"/>
    <n v="7.2"/>
    <n v="10"/>
    <n v="19.100000000000001"/>
    <s v="-"/>
    <n v="54"/>
    <n v="43"/>
    <s v="MF"/>
    <s v="N"/>
    <x v="0"/>
    <s v="Y03494"/>
    <m/>
  </r>
  <r>
    <s v="Zambia"/>
    <s v="Chisamba"/>
    <s v="Mkunku Farm 1"/>
    <n v="1"/>
    <n v="13"/>
    <n v="3"/>
    <n v="2023"/>
    <s v="CHI311"/>
    <x v="18"/>
    <s v="A"/>
    <s v="M"/>
    <n v="22"/>
    <n v="14"/>
    <n v="10.3"/>
    <n v="5.8"/>
    <n v="7.5"/>
    <n v="9.6999999999999993"/>
    <n v="20.6"/>
    <n v="10.8"/>
    <n v="69"/>
    <n v="49"/>
    <s v="MF"/>
    <s v="N"/>
    <x v="0"/>
    <s v="Y03495"/>
    <m/>
  </r>
  <r>
    <s v="Zambia"/>
    <s v="Chisamba"/>
    <s v="Mkunku Farm 1"/>
    <n v="1"/>
    <n v="13"/>
    <n v="3"/>
    <n v="2023"/>
    <s v="CHI312"/>
    <x v="1"/>
    <s v="A"/>
    <s v="M"/>
    <n v="19.7"/>
    <n v="10.7"/>
    <n v="9.9"/>
    <n v="5.7"/>
    <n v="7.7"/>
    <n v="10.1"/>
    <n v="22.2"/>
    <n v="10"/>
    <n v="67"/>
    <n v="53"/>
    <s v="MC"/>
    <s v="N"/>
    <x v="0"/>
    <s v="FC45045"/>
    <m/>
  </r>
  <r>
    <s v="Zambia"/>
    <s v="Chisamba"/>
    <s v="Mkunku Farm 1"/>
    <n v="1"/>
    <n v="13"/>
    <n v="3"/>
    <n v="2023"/>
    <s v="CHI313"/>
    <x v="26"/>
    <s v="A"/>
    <s v="M"/>
    <n v="47"/>
    <n v="19.7"/>
    <n v="13.4"/>
    <n v="7.6"/>
    <n v="8.9"/>
    <n v="12.7"/>
    <n v="25.8"/>
    <n v="9.9"/>
    <n v="84"/>
    <n v="67"/>
    <s v="MF"/>
    <s v="N"/>
    <x v="0"/>
    <s v="CA48668"/>
    <m/>
  </r>
  <r>
    <s v="Zambia"/>
    <s v="Chisamba"/>
    <s v="Mkunku Farm 1"/>
    <n v="1"/>
    <n v="13"/>
    <n v="3"/>
    <n v="2023"/>
    <s v="CHI314"/>
    <x v="22"/>
    <s v="A"/>
    <s v="U"/>
    <n v="9.9"/>
    <n v="9.4"/>
    <n v="6.3"/>
    <n v="2.6"/>
    <n v="2.2999999999999998"/>
    <n v="6.4"/>
    <n v="18.8"/>
    <n v="20"/>
    <n v="67"/>
    <n v="52"/>
    <s v="MC"/>
    <s v="N"/>
    <x v="0"/>
    <s v="N29861"/>
    <m/>
  </r>
  <r>
    <s v="Zambia"/>
    <s v="Chisamba"/>
    <s v="Mkunku Farm 1"/>
    <n v="1"/>
    <n v="13"/>
    <n v="3"/>
    <n v="2023"/>
    <s v="CHI315"/>
    <x v="13"/>
    <s v="A"/>
    <s v="U"/>
    <n v="47.1"/>
    <n v="21.7"/>
    <n v="13.1"/>
    <n v="5.2"/>
    <n v="7.6"/>
    <n v="12.7"/>
    <n v="33.299999999999997"/>
    <s v="-"/>
    <n v="95"/>
    <s v="-"/>
    <s v="MF"/>
    <s v="Y"/>
    <x v="1"/>
    <s v="CA48669"/>
    <m/>
  </r>
  <r>
    <s v="Zambia"/>
    <s v="Chisamba"/>
    <s v="Mkunku Farm 1"/>
    <n v="1"/>
    <n v="13"/>
    <n v="3"/>
    <n v="2023"/>
    <s v="CHI316"/>
    <x v="4"/>
    <s v="A"/>
    <s v="U"/>
    <n v="13.3"/>
    <n v="12.5"/>
    <n v="9"/>
    <n v="3"/>
    <n v="3.3"/>
    <n v="9.4"/>
    <n v="20.7"/>
    <n v="2.4"/>
    <n v="58"/>
    <n v="57"/>
    <s v="MF"/>
    <s v="Y"/>
    <x v="1"/>
    <s v="AS54226"/>
    <m/>
  </r>
  <r>
    <s v="Zambia"/>
    <s v="Chisamba"/>
    <s v="Mkunku Farm 1"/>
    <n v="1"/>
    <n v="13"/>
    <n v="3"/>
    <n v="2023"/>
    <s v="CHI317"/>
    <x v="29"/>
    <s v="A"/>
    <s v="U"/>
    <n v="11.4"/>
    <n v="11.1"/>
    <n v="8.8000000000000007"/>
    <n v="3.2"/>
    <n v="3.2"/>
    <n v="7.7"/>
    <n v="22.5"/>
    <n v="19"/>
    <n v="62"/>
    <n v="54"/>
    <s v="MC"/>
    <s v="Y"/>
    <x v="1"/>
    <s v="AS54227"/>
    <s v="POSSIBLE MARSH WARBLER"/>
  </r>
  <r>
    <s v="Zambia"/>
    <s v="Chisamba"/>
    <s v="Mkunku Farm 1"/>
    <n v="1"/>
    <n v="13"/>
    <n v="3"/>
    <n v="2023"/>
    <s v="CHI318"/>
    <x v="4"/>
    <s v="A"/>
    <s v="U"/>
    <n v="13"/>
    <n v="11.6"/>
    <n v="9"/>
    <n v="2.7"/>
    <n v="3.1"/>
    <n v="9.4"/>
    <n v="21.7"/>
    <n v="3.3"/>
    <n v="51"/>
    <n v="51"/>
    <s v="MF"/>
    <s v="Y"/>
    <x v="1"/>
    <s v="AS54228"/>
    <m/>
  </r>
  <r>
    <s v="Zambia"/>
    <s v="Chisamba"/>
    <s v="Mkunku Farm 1"/>
    <n v="1"/>
    <n v="13"/>
    <n v="3"/>
    <n v="2023"/>
    <s v="CHI319"/>
    <x v="15"/>
    <s v="A"/>
    <s v="U"/>
    <n v="29.8"/>
    <n v="15.7"/>
    <n v="11.2"/>
    <n v="3.5"/>
    <n v="4.7"/>
    <n v="10.1"/>
    <n v="22.7"/>
    <n v="10"/>
    <n v="80"/>
    <n v="85"/>
    <s v="MC"/>
    <s v="Y"/>
    <x v="1"/>
    <s v="BF17742"/>
    <m/>
  </r>
  <r>
    <s v="Zambia"/>
    <s v="Chisamba"/>
    <s v="Mkunku Farm 1"/>
    <n v="1"/>
    <n v="13"/>
    <n v="3"/>
    <n v="2023"/>
    <s v="CHI320"/>
    <x v="20"/>
    <s v="A"/>
    <s v="U"/>
    <n v="36.799999999999997"/>
    <n v="16.8"/>
    <n v="10.3"/>
    <n v="4.3"/>
    <n v="5.6"/>
    <n v="11.5"/>
    <n v="22.1"/>
    <s v="-"/>
    <n v="92"/>
    <n v="87"/>
    <s v="MF"/>
    <s v="Y"/>
    <x v="1"/>
    <s v="BF17743"/>
    <m/>
  </r>
  <r>
    <s v="Zambia"/>
    <s v="Chisamba"/>
    <s v="Mkunku Farm 1"/>
    <n v="1"/>
    <n v="13"/>
    <n v="3"/>
    <n v="2023"/>
    <s v="CHI321"/>
    <x v="30"/>
    <s v="A"/>
    <s v="U"/>
    <n v="28.5"/>
    <n v="17.7"/>
    <n v="12.1"/>
    <n v="5.0999999999999996"/>
    <n v="5.3"/>
    <n v="11.4"/>
    <n v="29.2"/>
    <n v="31"/>
    <n v="91"/>
    <n v="72"/>
    <s v="MC"/>
    <s v="N"/>
    <x v="0"/>
    <s v="CV00979"/>
    <m/>
  </r>
  <r>
    <s v="Zambia"/>
    <s v="Chisamba"/>
    <s v="Mkunku Farm 1"/>
    <n v="1"/>
    <n v="13"/>
    <n v="3"/>
    <n v="2023"/>
    <s v="CHI322"/>
    <x v="51"/>
    <s v="A"/>
    <s v="M"/>
    <n v="9.9"/>
    <n v="10.7"/>
    <n v="8.3000000000000007"/>
    <n v="4.7"/>
    <n v="5.7"/>
    <n v="7"/>
    <n v="14.1"/>
    <n v="4.9000000000000004"/>
    <n v="49"/>
    <n v="44"/>
    <s v="MF"/>
    <s v="Y"/>
    <x v="1"/>
    <s v="N29870"/>
    <m/>
  </r>
  <r>
    <s v="Zambia"/>
    <s v="Chisamba"/>
    <s v="Mkunku Farm 1"/>
    <n v="1"/>
    <n v="13"/>
    <n v="3"/>
    <n v="2023"/>
    <s v="CHI323"/>
    <x v="30"/>
    <s v="A"/>
    <s v="U"/>
    <n v="26.9"/>
    <n v="15.3"/>
    <n v="11.6"/>
    <n v="4.3"/>
    <n v="5"/>
    <n v="11.7"/>
    <n v="28.7"/>
    <n v="26"/>
    <n v="93"/>
    <n v="70"/>
    <s v="MF"/>
    <s v="Y"/>
    <x v="1"/>
    <s v="CA48670"/>
    <m/>
  </r>
  <r>
    <s v="Zambia"/>
    <s v="Chisamba"/>
    <s v="Mkunku Farm 1"/>
    <n v="1"/>
    <n v="13"/>
    <n v="3"/>
    <n v="2023"/>
    <s v="CHI324"/>
    <x v="9"/>
    <s v="A"/>
    <s v="M"/>
    <n v="10.9"/>
    <n v="9.6"/>
    <n v="8.1"/>
    <n v="5.2"/>
    <n v="5.4"/>
    <n v="6.3"/>
    <n v="15.2"/>
    <n v="8"/>
    <n v="51"/>
    <n v="54"/>
    <s v="MC"/>
    <s v="Y"/>
    <x v="1"/>
    <s v="N29871"/>
    <m/>
  </r>
  <r>
    <s v="Zambia"/>
    <s v="Chisamba"/>
    <s v="Mkunku Farm 1"/>
    <n v="1"/>
    <n v="13"/>
    <n v="3"/>
    <n v="2023"/>
    <s v="CHI325"/>
    <x v="18"/>
    <s v="A"/>
    <s v="M"/>
    <n v="18.2"/>
    <n v="12.6"/>
    <n v="10.3"/>
    <n v="5.7"/>
    <n v="6.4"/>
    <n v="9.6999999999999993"/>
    <n v="21.7"/>
    <n v="14"/>
    <n v="71"/>
    <n v="44"/>
    <s v="MC"/>
    <s v="Y"/>
    <x v="1"/>
    <s v="Y03496"/>
    <m/>
  </r>
  <r>
    <s v="Zambia"/>
    <s v="Chisamba"/>
    <s v="Mkunku Farm 1"/>
    <n v="1"/>
    <n v="13"/>
    <n v="3"/>
    <n v="2023"/>
    <s v="CHI326"/>
    <x v="51"/>
    <s v="A"/>
    <s v="M"/>
    <n v="9.3000000000000007"/>
    <n v="10.7"/>
    <n v="8.3000000000000007"/>
    <n v="5.0999999999999996"/>
    <n v="5.4"/>
    <n v="7.1"/>
    <n v="13.9"/>
    <n v="3.6"/>
    <n v="49"/>
    <n v="47"/>
    <s v="MF"/>
    <s v="N"/>
    <x v="0"/>
    <s v="N29872"/>
    <m/>
  </r>
  <r>
    <s v="Zambia"/>
    <s v="Chisamba"/>
    <s v="Mkunku Farm 1"/>
    <n v="1"/>
    <n v="13"/>
    <n v="3"/>
    <n v="2023"/>
    <s v="CHI327"/>
    <x v="43"/>
    <s v="A"/>
    <s v="M"/>
    <n v="19.8"/>
    <n v="13.3"/>
    <n v="8.8000000000000007"/>
    <n v="5.3"/>
    <n v="5.6"/>
    <n v="9.4"/>
    <n v="20.100000000000001"/>
    <n v="11"/>
    <n v="72"/>
    <n v="43"/>
    <s v="MF"/>
    <s v="N"/>
    <x v="0"/>
    <s v="FC45046"/>
    <m/>
  </r>
  <r>
    <s v="Zambia"/>
    <s v="Chisamba"/>
    <s v="Mkunku Farm 1"/>
    <n v="1"/>
    <n v="13"/>
    <n v="3"/>
    <n v="2023"/>
    <s v="CHI328"/>
    <x v="18"/>
    <s v="J"/>
    <s v="M"/>
    <n v="20.8"/>
    <n v="12.7"/>
    <n v="10.1"/>
    <n v="5.6"/>
    <n v="6.6"/>
    <n v="8.3000000000000007"/>
    <n v="19.899999999999999"/>
    <n v="15"/>
    <n v="69"/>
    <n v="46"/>
    <s v="MC"/>
    <s v="Y"/>
    <x v="1"/>
    <s v="Y03497"/>
    <m/>
  </r>
  <r>
    <s v="Zambia"/>
    <s v="Chisamba"/>
    <s v="Mkunku Farm 1"/>
    <n v="1"/>
    <n v="13"/>
    <n v="3"/>
    <n v="2023"/>
    <s v="CHI329"/>
    <x v="15"/>
    <s v="A"/>
    <s v="U"/>
    <n v="34.700000000000003"/>
    <n v="16"/>
    <n v="11.7"/>
    <n v="4.2"/>
    <n v="5.2"/>
    <n v="12.2"/>
    <n v="24.3"/>
    <s v="-"/>
    <n v="90"/>
    <n v="91"/>
    <s v="MF"/>
    <s v="Y"/>
    <x v="1"/>
    <s v="CV00980"/>
    <m/>
  </r>
  <r>
    <s v="Zambia"/>
    <s v="Chisamba"/>
    <s v="Mkunku Farm 1"/>
    <n v="1"/>
    <n v="13"/>
    <n v="3"/>
    <n v="2023"/>
    <s v="CHI330"/>
    <x v="21"/>
    <s v="J"/>
    <s v="M"/>
    <n v="6.6"/>
    <n v="13.9"/>
    <n v="11.8"/>
    <n v="3.3"/>
    <n v="2.6"/>
    <n v="6.5"/>
    <n v="13.2"/>
    <n v="14"/>
    <n v="53"/>
    <n v="32"/>
    <s v="MC"/>
    <s v="N"/>
    <x v="0"/>
    <s v="N29873"/>
    <m/>
  </r>
  <r>
    <s v="Zambia"/>
    <s v="Chisamba"/>
    <s v="Mkunku Farm 1"/>
    <n v="1"/>
    <n v="13"/>
    <n v="3"/>
    <n v="2023"/>
    <s v="CHI331"/>
    <x v="1"/>
    <s v="A"/>
    <s v="M"/>
    <n v="28.6"/>
    <n v="14.8"/>
    <n v="9.6"/>
    <n v="5.9"/>
    <n v="7.5"/>
    <n v="9.6999999999999993"/>
    <n v="20.6"/>
    <n v="7.7"/>
    <n v="70"/>
    <n v="52"/>
    <s v="MF"/>
    <s v="N"/>
    <x v="0"/>
    <s v="FC45047"/>
    <m/>
  </r>
  <r>
    <s v="Zambia"/>
    <s v="Chisamba"/>
    <s v="Mkunku Farm 1"/>
    <n v="1"/>
    <n v="13"/>
    <n v="3"/>
    <n v="2023"/>
    <s v="CHI332"/>
    <x v="18"/>
    <s v="A"/>
    <s v="M"/>
    <n v="16"/>
    <n v="14.8"/>
    <n v="12"/>
    <n v="6.4"/>
    <n v="7.4"/>
    <n v="9.9"/>
    <n v="20.100000000000001"/>
    <n v="15"/>
    <n v="76"/>
    <n v="51"/>
    <s v="MC"/>
    <s v="N"/>
    <x v="0"/>
    <s v="FC45048"/>
    <m/>
  </r>
  <r>
    <s v="Zambia"/>
    <s v="Chisamba"/>
    <s v="Mkunku Farm 1"/>
    <n v="1"/>
    <n v="13"/>
    <n v="3"/>
    <n v="2023"/>
    <s v="CHI333"/>
    <x v="29"/>
    <s v="A"/>
    <s v="U"/>
    <n v="8.8000000000000007"/>
    <n v="12.2"/>
    <n v="8.9"/>
    <n v="3.2"/>
    <n v="3.8"/>
    <n v="7"/>
    <n v="22"/>
    <n v="8.5"/>
    <n v="51"/>
    <n v="47"/>
    <s v="MF"/>
    <s v="Y"/>
    <x v="1"/>
    <s v="AS54229"/>
    <s v="POSSIBLE MARSH WARBLER"/>
  </r>
  <r>
    <s v="Zambia"/>
    <s v="Chisamba"/>
    <s v="Mkunku Farm 1"/>
    <n v="1"/>
    <n v="13"/>
    <n v="3"/>
    <n v="2023"/>
    <s v="CHI334"/>
    <x v="30"/>
    <s v="A"/>
    <s v="U"/>
    <n v="31.3"/>
    <n v="17.899999999999999"/>
    <n v="13.8"/>
    <n v="5"/>
    <n v="5.6"/>
    <n v="10.8"/>
    <n v="30.1"/>
    <n v="29"/>
    <n v="95"/>
    <n v="76"/>
    <s v="MC"/>
    <s v="Y"/>
    <x v="1"/>
    <s v="BF1774"/>
    <m/>
  </r>
  <r>
    <s v="Zambia"/>
    <s v="Chisamba"/>
    <s v="Mkunku Farm 1"/>
    <n v="1"/>
    <n v="13"/>
    <n v="3"/>
    <n v="2023"/>
    <s v="CHI335"/>
    <x v="10"/>
    <s v="A"/>
    <s v="F"/>
    <n v="16.600000000000001"/>
    <n v="12.8"/>
    <n v="8.8000000000000007"/>
    <n v="5.2"/>
    <n v="5.7"/>
    <n v="6.9"/>
    <n v="17"/>
    <n v="5.7"/>
    <n v="60"/>
    <n v="48"/>
    <s v="MF"/>
    <s v="Y"/>
    <x v="1"/>
    <s v="AS54230"/>
    <m/>
  </r>
  <r>
    <s v="Zambia"/>
    <s v="Chisamba"/>
    <s v="Mkunku Farm 1"/>
    <n v="1"/>
    <n v="13"/>
    <n v="3"/>
    <n v="2023"/>
    <s v="CHI336"/>
    <x v="31"/>
    <s v="A"/>
    <s v="F"/>
    <n v="8.6"/>
    <n v="17.600000000000001"/>
    <n v="15.3"/>
    <n v="3.6"/>
    <n v="3"/>
    <n v="6.7"/>
    <n v="15.4"/>
    <n v="11"/>
    <n v="62"/>
    <n v="45"/>
    <s v="MC"/>
    <s v="N"/>
    <x v="0"/>
    <s v="N29874"/>
    <m/>
  </r>
  <r>
    <s v="Zambia"/>
    <s v="Chisamba"/>
    <s v="Mkunku Farm 1"/>
    <n v="1"/>
    <n v="13"/>
    <n v="3"/>
    <n v="2023"/>
    <s v="CHI337"/>
    <x v="9"/>
    <s v="A"/>
    <s v="F"/>
    <n v="10.8"/>
    <n v="10.1"/>
    <n v="8.1999999999999993"/>
    <n v="4.2"/>
    <n v="5.3"/>
    <n v="7.2"/>
    <n v="14.2"/>
    <s v="-"/>
    <n v="53"/>
    <n v="48"/>
    <s v="MF"/>
    <s v="Y"/>
    <x v="1"/>
    <s v="N29875"/>
    <m/>
  </r>
  <r>
    <s v="Zambia"/>
    <s v="Chisamba"/>
    <s v="Mkunku Farm 1"/>
    <n v="1"/>
    <n v="13"/>
    <n v="3"/>
    <n v="2023"/>
    <s v="CHI338"/>
    <x v="18"/>
    <s v="A"/>
    <s v="F"/>
    <n v="20.7"/>
    <n v="14.7"/>
    <n v="10.1"/>
    <n v="5.5"/>
    <n v="7.7"/>
    <n v="10.1"/>
    <n v="19.8"/>
    <n v="10.199999999999999"/>
    <n v="69"/>
    <n v="46"/>
    <s v="MC"/>
    <s v="Y"/>
    <x v="1"/>
    <s v="FC545044"/>
    <m/>
  </r>
  <r>
    <s v="Zambia"/>
    <s v="Chisamba"/>
    <s v="Mkunku Farm 1"/>
    <n v="1"/>
    <n v="13"/>
    <n v="3"/>
    <n v="2023"/>
    <s v="CHI339"/>
    <x v="30"/>
    <s v="A"/>
    <s v="U"/>
    <n v="32"/>
    <n v="17.7"/>
    <n v="13.3"/>
    <n v="5.0999999999999996"/>
    <n v="5.6"/>
    <n v="11.3"/>
    <n v="27.6"/>
    <n v="29"/>
    <n v="96"/>
    <n v="79"/>
    <s v="MF"/>
    <s v="Y"/>
    <x v="1"/>
    <s v="BF17745"/>
    <m/>
  </r>
  <r>
    <s v="Zambia"/>
    <s v="Chisamba"/>
    <s v="Mkunku Farm 1"/>
    <n v="1"/>
    <n v="13"/>
    <n v="3"/>
    <n v="2023"/>
    <s v="CHI340"/>
    <x v="13"/>
    <s v="A"/>
    <s v="U"/>
    <n v="52.6"/>
    <n v="20.3"/>
    <n v="12.5"/>
    <n v="4.7"/>
    <n v="7.3"/>
    <n v="11.7"/>
    <n v="32.5"/>
    <n v="8.5"/>
    <n v="97"/>
    <n v="97"/>
    <s v="MF"/>
    <s v="Y"/>
    <x v="1"/>
    <s v="CA48671"/>
    <m/>
  </r>
  <r>
    <s v="Zambia"/>
    <s v="Chisamba"/>
    <s v="Mkunku Farm 1"/>
    <n v="1"/>
    <n v="13"/>
    <n v="3"/>
    <n v="2023"/>
    <s v="CHI341"/>
    <x v="43"/>
    <s v="J"/>
    <s v="F"/>
    <n v="14.9"/>
    <n v="12.3"/>
    <n v="9.6999999999999993"/>
    <n v="5.6"/>
    <n v="6.6"/>
    <n v="8.4"/>
    <n v="18.2"/>
    <n v="14"/>
    <n v="61"/>
    <n v="34"/>
    <s v="MC"/>
    <s v="Y"/>
    <x v="1"/>
    <s v="Y03498"/>
    <m/>
  </r>
  <r>
    <s v="Zambia"/>
    <s v="Chisamba"/>
    <s v="Mkunku Farm 1"/>
    <n v="1"/>
    <n v="13"/>
    <n v="3"/>
    <n v="2023"/>
    <s v="CHI342"/>
    <x v="30"/>
    <s v="A"/>
    <s v="U"/>
    <n v="31.5"/>
    <n v="16.600000000000001"/>
    <n v="12"/>
    <n v="4.5999999999999996"/>
    <n v="5.2"/>
    <n v="12.5"/>
    <n v="27"/>
    <n v="28.5"/>
    <n v="96"/>
    <n v="77"/>
    <s v="MF"/>
    <s v="Y"/>
    <x v="1"/>
    <s v="BF17746"/>
    <m/>
  </r>
  <r>
    <s v="Zambia"/>
    <s v="Chisamba"/>
    <s v="Mkunku Farm 1"/>
    <n v="1"/>
    <n v="13"/>
    <n v="3"/>
    <n v="2023"/>
    <s v="CHI343"/>
    <x v="43"/>
    <s v="A"/>
    <s v="M"/>
    <n v="19"/>
    <n v="12.1"/>
    <n v="9.5"/>
    <n v="6.5"/>
    <n v="7"/>
    <n v="8.9"/>
    <n v="20.5"/>
    <n v="16"/>
    <n v="68"/>
    <n v="36"/>
    <s v="MC"/>
    <s v="N"/>
    <x v="0"/>
    <s v="FC45050"/>
    <m/>
  </r>
  <r>
    <s v="Zambia"/>
    <s v="Chisamba"/>
    <s v="Mkunku Farm 1"/>
    <n v="1"/>
    <n v="13"/>
    <n v="3"/>
    <n v="2023"/>
    <s v="CHI344"/>
    <x v="12"/>
    <s v="A"/>
    <s v="F"/>
    <n v="15.4"/>
    <n v="12.2"/>
    <n v="9.1"/>
    <n v="6"/>
    <n v="9.6999999999999993"/>
    <n v="8.4"/>
    <n v="17.600000000000001"/>
    <n v="3.9"/>
    <n v="57"/>
    <n v="55"/>
    <s v="MF"/>
    <s v="N"/>
    <x v="0"/>
    <s v="AS54241"/>
    <m/>
  </r>
  <r>
    <s v="Zambia"/>
    <s v="Chisamba"/>
    <s v="Mkunku Farm 1"/>
    <n v="1"/>
    <n v="13"/>
    <n v="3"/>
    <n v="2023"/>
    <s v="CHI345"/>
    <x v="14"/>
    <s v="A"/>
    <s v="U"/>
    <n v="67.2"/>
    <n v="14.4"/>
    <n v="7.4"/>
    <n v="2.6"/>
    <n v="2.9"/>
    <n v="7.1"/>
    <n v="17.3"/>
    <n v="36"/>
    <n v="116"/>
    <n v="85"/>
    <s v="MC"/>
    <s v="Y"/>
    <x v="1"/>
    <s v="4B04301"/>
    <m/>
  </r>
  <r>
    <s v="Zambia"/>
    <s v="Chisamba"/>
    <s v="Mkunku Farm 1"/>
    <n v="1"/>
    <n v="13"/>
    <n v="3"/>
    <n v="2023"/>
    <s v="CHI346"/>
    <x v="22"/>
    <s v="A"/>
    <s v="U"/>
    <n v="7.7"/>
    <n v="10.7"/>
    <n v="6.6"/>
    <n v="2.7"/>
    <n v="2.4"/>
    <n v="7.2"/>
    <n v="19.5"/>
    <n v="15"/>
    <n v="64"/>
    <n v="48"/>
    <s v="MF"/>
    <s v="N"/>
    <x v="0"/>
    <s v="N29876"/>
    <m/>
  </r>
  <r>
    <s v="Zambia"/>
    <s v="Chisamba"/>
    <s v="Mkunku Farm 1"/>
    <n v="1"/>
    <n v="13"/>
    <n v="3"/>
    <n v="2023"/>
    <s v="CHI347"/>
    <x v="19"/>
    <s v="A"/>
    <s v="F"/>
    <n v="17"/>
    <n v="12.8"/>
    <n v="9.5"/>
    <n v="6.5"/>
    <n v="6.9"/>
    <n v="8.6999999999999993"/>
    <n v="20.100000000000001"/>
    <n v="14"/>
    <n v="63"/>
    <n v="43"/>
    <s v="MC"/>
    <s v="Y"/>
    <x v="1"/>
    <s v="Y03499"/>
    <m/>
  </r>
  <r>
    <s v="Zambia"/>
    <s v="Chisamba"/>
    <s v="Mkunku Farm 1"/>
    <n v="1"/>
    <n v="13"/>
    <n v="3"/>
    <n v="2023"/>
    <s v="CHI348"/>
    <x v="52"/>
    <s v="A"/>
    <s v="M"/>
    <n v="7.8"/>
    <n v="16.399999999999999"/>
    <n v="13.8"/>
    <n v="3.2"/>
    <n v="2.8"/>
    <n v="6.3"/>
    <n v="14.2"/>
    <n v="7.2"/>
    <n v="58"/>
    <n v="24"/>
    <s v="MF"/>
    <s v="N"/>
    <x v="0"/>
    <s v="N29878"/>
    <m/>
  </r>
  <r>
    <s v="Zambia"/>
    <s v="Chisamba"/>
    <s v="Mkunku Farm 1"/>
    <n v="1"/>
    <n v="13"/>
    <n v="3"/>
    <n v="2023"/>
    <s v="CHI349"/>
    <x v="31"/>
    <s v="J"/>
    <s v="F"/>
    <n v="8.6"/>
    <n v="15.6"/>
    <n v="13.4"/>
    <n v="3.1"/>
    <n v="2.5"/>
    <n v="6.6"/>
    <n v="15.5"/>
    <n v="11"/>
    <n v="57"/>
    <n v="40"/>
    <s v="MC"/>
    <s v="N"/>
    <x v="0"/>
    <s v="N29877"/>
    <m/>
  </r>
  <r>
    <s v="Zambia"/>
    <s v="Chisamba"/>
    <s v="Mkunku Farm 1"/>
    <n v="1"/>
    <n v="13"/>
    <n v="3"/>
    <n v="2023"/>
    <s v="CHI350"/>
    <x v="29"/>
    <s v="A"/>
    <s v="U"/>
    <n v="8.1"/>
    <n v="11.3"/>
    <n v="8.3000000000000007"/>
    <n v="2.8"/>
    <n v="2.7"/>
    <n v="7.2"/>
    <n v="22.3"/>
    <n v="8.3000000000000007"/>
    <n v="57"/>
    <n v="50"/>
    <s v="MF"/>
    <s v="Y"/>
    <x v="1"/>
    <s v="AS54232"/>
    <m/>
  </r>
  <r>
    <s v="Zambia"/>
    <s v="Chisamba"/>
    <s v="Mkunku Farm 1"/>
    <n v="1"/>
    <n v="13"/>
    <n v="3"/>
    <n v="2023"/>
    <s v="CHI351"/>
    <x v="29"/>
    <s v="A"/>
    <s v="U"/>
    <n v="9.9"/>
    <n v="11.7"/>
    <n v="8.6"/>
    <n v="2.6"/>
    <n v="2.1"/>
    <n v="6.9"/>
    <n v="21.4"/>
    <n v="14"/>
    <n v="57"/>
    <n v="48"/>
    <s v="MC"/>
    <s v="Y"/>
    <x v="1"/>
    <s v="AS54233"/>
    <m/>
  </r>
  <r>
    <s v="Zambia"/>
    <s v="Chisamba"/>
    <s v="Mkunku Farm 1"/>
    <n v="1"/>
    <n v="13"/>
    <n v="3"/>
    <n v="2023"/>
    <s v="CHI352"/>
    <x v="27"/>
    <s v="A"/>
    <s v="U"/>
    <n v="9"/>
    <n v="9.9"/>
    <n v="6.8"/>
    <n v="4.0999999999999996"/>
    <n v="6.2"/>
    <n v="6"/>
    <n v="11.7"/>
    <n v="9"/>
    <n v="50"/>
    <n v="33"/>
    <s v="MF"/>
    <s v="Y"/>
    <x v="1"/>
    <s v="N29879"/>
    <m/>
  </r>
  <r>
    <s v="Zambia"/>
    <s v="Chisamba"/>
    <s v="Mkunku Farm 1"/>
    <n v="1"/>
    <n v="13"/>
    <n v="3"/>
    <n v="2023"/>
    <s v="CHI353"/>
    <x v="30"/>
    <s v="A"/>
    <s v="U"/>
    <n v="32.299999999999997"/>
    <n v="18.399999999999999"/>
    <n v="13.2"/>
    <n v="5.4"/>
    <n v="5.3"/>
    <n v="13.1"/>
    <n v="29.7"/>
    <n v="25.1"/>
    <n v="96"/>
    <n v="75"/>
    <s v="MF"/>
    <s v="Y"/>
    <x v="1"/>
    <s v="BF17747"/>
    <m/>
  </r>
  <r>
    <s v="Zambia"/>
    <s v="Chisamba"/>
    <s v="Mkunku Farm 1"/>
    <n v="1"/>
    <n v="13"/>
    <n v="3"/>
    <n v="2023"/>
    <s v="CHI354"/>
    <x v="4"/>
    <s v="A"/>
    <s v="U"/>
    <n v="13.6"/>
    <n v="12.4"/>
    <n v="9.4"/>
    <n v="2.7"/>
    <n v="3.4"/>
    <n v="10"/>
    <n v="3.2"/>
    <n v="2"/>
    <n v="55"/>
    <n v="57"/>
    <s v="MF"/>
    <s v="N"/>
    <x v="0"/>
    <s v="AS54234"/>
    <m/>
  </r>
  <r>
    <s v="Zambia"/>
    <s v="Chisamba"/>
    <s v="Mkunku Farm 1"/>
    <n v="1"/>
    <n v="13"/>
    <n v="3"/>
    <n v="2023"/>
    <s v="CHI355"/>
    <x v="30"/>
    <s v="A"/>
    <s v="U"/>
    <n v="26.8"/>
    <n v="18.100000000000001"/>
    <n v="13.1"/>
    <n v="4.9000000000000004"/>
    <n v="5.2"/>
    <n v="10.4"/>
    <n v="26.7"/>
    <n v="31"/>
    <n v="95"/>
    <n v="71"/>
    <s v="MC"/>
    <s v="Y"/>
    <x v="1"/>
    <s v="BF17748"/>
    <m/>
  </r>
  <r>
    <s v="Zambia"/>
    <s v="Chisamba"/>
    <s v="Mkunku Farm 1"/>
    <n v="1"/>
    <n v="13"/>
    <n v="3"/>
    <n v="2023"/>
    <s v="CHI356"/>
    <x v="29"/>
    <s v="J"/>
    <s v="U"/>
    <n v="8.4"/>
    <n v="11.8"/>
    <n v="8.4"/>
    <n v="4"/>
    <n v="2.7"/>
    <n v="6.3"/>
    <n v="21.6"/>
    <n v="12.8"/>
    <n v="55"/>
    <n v="48"/>
    <s v="MF"/>
    <s v="Y"/>
    <x v="1"/>
    <s v="AS54235"/>
    <m/>
  </r>
  <r>
    <s v="Zambia"/>
    <s v="Chisamba"/>
    <s v="Mkunku Farm 1"/>
    <n v="1"/>
    <n v="13"/>
    <n v="3"/>
    <n v="2023"/>
    <s v="CHI357"/>
    <x v="1"/>
    <s v="A"/>
    <s v="F"/>
    <n v="17.8"/>
    <n v="12.5"/>
    <n v="9"/>
    <n v="7.5"/>
    <n v="7.6"/>
    <n v="8.9"/>
    <n v="19.8"/>
    <n v="7"/>
    <n v="60"/>
    <n v="41"/>
    <s v="MXK"/>
    <s v="Y"/>
    <x v="1"/>
    <s v="Y03500"/>
    <m/>
  </r>
  <r>
    <s v="Zambia"/>
    <s v="Chisamba"/>
    <s v="Mkunku Farm 1"/>
    <n v="1"/>
    <n v="13"/>
    <n v="3"/>
    <n v="2023"/>
    <s v="CHI358"/>
    <x v="1"/>
    <s v="A"/>
    <s v="F"/>
    <n v="18.600000000000001"/>
    <n v="13.5"/>
    <n v="8.6999999999999993"/>
    <n v="6.5"/>
    <n v="7.2"/>
    <n v="9.6"/>
    <n v="20.2"/>
    <n v="7"/>
    <n v="67"/>
    <n v="46"/>
    <s v="MF"/>
    <s v="N"/>
    <x v="0"/>
    <s v="AS54236"/>
    <m/>
  </r>
  <r>
    <s v="Zambia"/>
    <s v="Chisamba"/>
    <s v="Mkunku Farm 1"/>
    <n v="1"/>
    <n v="13"/>
    <n v="3"/>
    <n v="2023"/>
    <s v="CHI359"/>
    <x v="30"/>
    <s v="A"/>
    <s v="U"/>
    <n v="29.1"/>
    <n v="17.100000000000001"/>
    <n v="13"/>
    <n v="5.7"/>
    <n v="5.2"/>
    <n v="11"/>
    <n v="30.2"/>
    <n v="26.8"/>
    <n v="97"/>
    <n v="79"/>
    <s v="MF"/>
    <s v="N"/>
    <x v="0"/>
    <s v="BF17750"/>
    <m/>
  </r>
  <r>
    <s v="Zambia"/>
    <s v="Chisamba"/>
    <s v="Mkunku Farm 1"/>
    <n v="1"/>
    <n v="13"/>
    <n v="3"/>
    <n v="2023"/>
    <s v="CHI360"/>
    <x v="43"/>
    <s v="J"/>
    <s v="U"/>
    <n v="14.3"/>
    <n v="12.8"/>
    <n v="8.3000000000000007"/>
    <n v="8.1999999999999993"/>
    <n v="6.8"/>
    <n v="8.3000000000000007"/>
    <n v="19.2"/>
    <n v="11"/>
    <n v="60"/>
    <n v="35"/>
    <s v="MXK"/>
    <s v="N"/>
    <x v="0"/>
    <s v="FC45051"/>
    <m/>
  </r>
  <r>
    <s v="Zambia"/>
    <s v="Chisamba"/>
    <s v="Mkunku Farm 1"/>
    <n v="1"/>
    <n v="13"/>
    <n v="3"/>
    <n v="2023"/>
    <s v="CHI361"/>
    <x v="27"/>
    <s v="A"/>
    <s v="U"/>
    <n v="8.8000000000000007"/>
    <n v="9.5"/>
    <n v="6.5"/>
    <n v="5.3"/>
    <n v="5.6"/>
    <n v="6.1"/>
    <n v="11.6"/>
    <n v="9.8000000000000007"/>
    <n v="48"/>
    <n v="28"/>
    <s v="MF"/>
    <s v="N"/>
    <x v="0"/>
    <s v="N29880"/>
    <m/>
  </r>
  <r>
    <s v="Zambia"/>
    <s v="Chisamba"/>
    <s v="Mkunku Farm 1"/>
    <n v="1"/>
    <n v="13"/>
    <n v="3"/>
    <n v="2023"/>
    <s v="CHI362"/>
    <x v="43"/>
    <s v="A"/>
    <s v="F"/>
    <n v="16.8"/>
    <n v="13.2"/>
    <n v="8.5"/>
    <n v="6.2"/>
    <n v="6.7"/>
    <n v="8.6"/>
    <n v="17.5"/>
    <n v="6"/>
    <n v="59"/>
    <n v="37"/>
    <s v="MXK"/>
    <s v="Y"/>
    <x v="1"/>
    <s v="FC45052"/>
    <m/>
  </r>
  <r>
    <s v="Zambia"/>
    <s v="Chisamba"/>
    <s v="Mkunku Farm 1"/>
    <n v="1"/>
    <n v="13"/>
    <n v="3"/>
    <n v="2023"/>
    <s v="CHI363"/>
    <x v="53"/>
    <s v="A"/>
    <s v="U"/>
    <n v="11.5"/>
    <n v="11.4"/>
    <n v="8"/>
    <n v="3.3"/>
    <n v="2.9"/>
    <n v="9.9"/>
    <n v="22.2"/>
    <s v="-"/>
    <n v="61"/>
    <n v="38"/>
    <s v="MF"/>
    <s v="Y"/>
    <x v="1"/>
    <s v="AS54237"/>
    <s v="MOULTING"/>
  </r>
  <r>
    <s v="Zambia"/>
    <s v="Chisamba"/>
    <s v="Mkunku Farm 1"/>
    <n v="1"/>
    <n v="13"/>
    <n v="3"/>
    <n v="2023"/>
    <s v="CHI364"/>
    <x v="27"/>
    <s v="A"/>
    <s v="U"/>
    <n v="8.6"/>
    <n v="9.8000000000000007"/>
    <n v="6"/>
    <n v="4.0999999999999996"/>
    <n v="6"/>
    <n v="6"/>
    <n v="12.2"/>
    <n v="8.3000000000000007"/>
    <n v="59"/>
    <n v="35"/>
    <s v="MF"/>
    <s v="Y"/>
    <x v="1"/>
    <s v="N29881"/>
    <m/>
  </r>
  <r>
    <s v="Zambia"/>
    <s v="Chisamba"/>
    <s v="Mkunku Farm 1"/>
    <n v="1"/>
    <n v="13"/>
    <n v="3"/>
    <n v="2023"/>
    <s v="CHI365"/>
    <x v="30"/>
    <s v="A"/>
    <s v="U"/>
    <n v="38.200000000000003"/>
    <n v="17.399999999999999"/>
    <n v="12.3"/>
    <n v="5.3"/>
    <n v="5.2"/>
    <n v="12"/>
    <n v="29.8"/>
    <n v="29"/>
    <n v="91"/>
    <n v="77"/>
    <s v="MXK"/>
    <s v="N"/>
    <x v="0"/>
    <s v="BF17751"/>
    <m/>
  </r>
  <r>
    <s v="Zambia"/>
    <s v="Chisamba"/>
    <s v="Mkunku Farm 1"/>
    <n v="1"/>
    <n v="13"/>
    <n v="3"/>
    <n v="2023"/>
    <s v="CHI366"/>
    <x v="31"/>
    <s v="J"/>
    <s v="U"/>
    <n v="8.5"/>
    <n v="16.5"/>
    <n v="14.5"/>
    <n v="3.3"/>
    <n v="2.8"/>
    <n v="7.7"/>
    <n v="15.3"/>
    <n v="7"/>
    <n v="57"/>
    <n v="40"/>
    <s v="MF"/>
    <s v="N"/>
    <x v="0"/>
    <s v="N29882"/>
    <m/>
  </r>
  <r>
    <s v="Zambia"/>
    <s v="Chisamba"/>
    <s v="Mkunku Farm 1"/>
    <n v="1"/>
    <n v="13"/>
    <n v="3"/>
    <n v="2023"/>
    <s v="CHI367"/>
    <x v="53"/>
    <s v="A"/>
    <s v="U"/>
    <n v="12.1"/>
    <n v="10.9"/>
    <n v="8"/>
    <n v="3.3"/>
    <n v="3.1"/>
    <n v="8.5"/>
    <n v="23.4"/>
    <n v="16"/>
    <n v="64"/>
    <n v="38"/>
    <s v="MXK"/>
    <s v="Y"/>
    <x v="1"/>
    <s v="AS54238"/>
    <m/>
  </r>
  <r>
    <s v="Zambia"/>
    <s v="Chisamba"/>
    <s v="Mkunku Farm 1"/>
    <n v="1"/>
    <n v="13"/>
    <n v="3"/>
    <n v="2023"/>
    <s v="CHI368"/>
    <x v="54"/>
    <s v="A"/>
    <s v="U"/>
    <n v="9.1"/>
    <n v="8.1"/>
    <n v="6.7"/>
    <n v="4.3"/>
    <n v="5.6"/>
    <n v="6.6"/>
    <n v="14.4"/>
    <n v="7.2"/>
    <n v="47"/>
    <n v="45"/>
    <s v="MF"/>
    <s v="Y"/>
    <x v="1"/>
    <s v="N2988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C492F-A2B5-4C94-A003-9D36AEA56CC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9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6">
        <item x="7"/>
        <item sd="0" x="16"/>
        <item x="41"/>
        <item x="37"/>
        <item x="9"/>
        <item x="27"/>
        <item x="5"/>
        <item x="23"/>
        <item x="29"/>
        <item x="54"/>
        <item x="31"/>
        <item x="20"/>
        <item x="14"/>
        <item x="44"/>
        <item x="30"/>
        <item x="10"/>
        <item x="45"/>
        <item x="26"/>
        <item x="51"/>
        <item x="32"/>
        <item x="46"/>
        <item x="38"/>
        <item x="53"/>
        <item x="33"/>
        <item x="28"/>
        <item x="42"/>
        <item x="34"/>
        <item x="12"/>
        <item x="52"/>
        <item x="39"/>
        <item x="11"/>
        <item x="6"/>
        <item x="50"/>
        <item x="19"/>
        <item x="4"/>
        <item x="48"/>
        <item x="0"/>
        <item x="18"/>
        <item x="43"/>
        <item x="8"/>
        <item x="36"/>
        <item x="40"/>
        <item x="3"/>
        <item x="2"/>
        <item x="15"/>
        <item x="47"/>
        <item x="13"/>
        <item x="21"/>
        <item x="17"/>
        <item x="35"/>
        <item x="22"/>
        <item x="1"/>
        <item x="25"/>
        <item x="24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8"/>
  </rowFields>
  <rowItems count="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 t="grand">
      <x/>
    </i>
  </rowItems>
  <colItems count="1">
    <i/>
  </colItems>
  <dataFields count="1">
    <dataField name="Count of Faecal sample (Y/N only)" fld="2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2BF1-C1FE-49AD-B920-4A02A8AC51CE}">
  <dimension ref="A1:AD30"/>
  <sheetViews>
    <sheetView tabSelected="1" topLeftCell="N1" zoomScaleNormal="100" workbookViewId="0">
      <pane ySplit="1" topLeftCell="A2" activePane="bottomLeft" state="frozen"/>
      <selection activeCell="F1" sqref="F1"/>
      <selection pane="bottomLeft" activeCell="Z31" sqref="Z31"/>
    </sheetView>
  </sheetViews>
  <sheetFormatPr baseColWidth="10" defaultColWidth="8.83203125" defaultRowHeight="15" x14ac:dyDescent="0.2"/>
  <cols>
    <col min="1" max="1" width="10.1640625" style="1" customWidth="1"/>
    <col min="2" max="3" width="9.1640625" style="1"/>
    <col min="4" max="4" width="13.83203125" style="1" customWidth="1"/>
    <col min="5" max="6" width="9.1640625" style="1"/>
    <col min="7" max="8" width="11.1640625" style="1" customWidth="1"/>
    <col min="9" max="9" width="12.33203125" style="1" customWidth="1"/>
    <col min="10" max="10" width="30.83203125" style="1" customWidth="1"/>
    <col min="11" max="13" width="28.33203125" style="1" customWidth="1"/>
    <col min="14" max="14" width="7.5" style="1" customWidth="1"/>
    <col min="15" max="15" width="9.1640625" style="1"/>
    <col min="16" max="16" width="10.33203125" style="1" customWidth="1"/>
    <col min="17" max="17" width="9.5" style="1" customWidth="1"/>
    <col min="18" max="18" width="7.83203125" customWidth="1"/>
    <col min="29" max="29" width="16.33203125" customWidth="1"/>
    <col min="30" max="30" width="45.1640625" customWidth="1"/>
  </cols>
  <sheetData>
    <row r="1" spans="1:30" ht="49.5" customHeight="1" x14ac:dyDescent="0.2">
      <c r="A1" s="4" t="s">
        <v>205</v>
      </c>
      <c r="B1" s="4" t="s">
        <v>0</v>
      </c>
      <c r="C1" s="4" t="s">
        <v>1</v>
      </c>
      <c r="D1" s="4" t="s">
        <v>2</v>
      </c>
      <c r="E1" s="4" t="s">
        <v>7</v>
      </c>
      <c r="F1" s="4" t="s">
        <v>3</v>
      </c>
      <c r="G1" s="4" t="s">
        <v>4</v>
      </c>
      <c r="H1" s="4" t="s">
        <v>5</v>
      </c>
      <c r="I1" s="4" t="s">
        <v>8</v>
      </c>
      <c r="J1" s="4" t="s">
        <v>9</v>
      </c>
      <c r="K1" s="4" t="s">
        <v>206</v>
      </c>
      <c r="L1" s="4" t="s">
        <v>207</v>
      </c>
      <c r="M1" s="4" t="s">
        <v>208</v>
      </c>
      <c r="N1" s="4" t="s">
        <v>10</v>
      </c>
      <c r="O1" s="4" t="s">
        <v>11</v>
      </c>
      <c r="P1" s="4" t="s">
        <v>12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13</v>
      </c>
      <c r="AA1" s="5" t="s">
        <v>23</v>
      </c>
      <c r="AB1" s="5" t="s">
        <v>165</v>
      </c>
      <c r="AC1" s="5" t="s">
        <v>31</v>
      </c>
      <c r="AD1" s="5" t="s">
        <v>6</v>
      </c>
    </row>
    <row r="2" spans="1:30" x14ac:dyDescent="0.2">
      <c r="A2" s="2">
        <v>30</v>
      </c>
      <c r="B2" s="2" t="s">
        <v>24</v>
      </c>
      <c r="C2" s="2" t="s">
        <v>25</v>
      </c>
      <c r="D2" s="2" t="s">
        <v>43</v>
      </c>
      <c r="E2" s="2">
        <v>2</v>
      </c>
      <c r="F2" s="2">
        <v>7</v>
      </c>
      <c r="G2" s="2">
        <v>3</v>
      </c>
      <c r="H2" s="2">
        <v>2023</v>
      </c>
      <c r="I2" s="2" t="s">
        <v>46</v>
      </c>
      <c r="J2" s="14" t="s">
        <v>54</v>
      </c>
      <c r="K2" s="19" t="s">
        <v>203</v>
      </c>
      <c r="L2" s="20" t="s">
        <v>209</v>
      </c>
      <c r="M2" s="18" t="s">
        <v>210</v>
      </c>
      <c r="N2" s="16" t="s">
        <v>27</v>
      </c>
      <c r="O2" s="2" t="s">
        <v>28</v>
      </c>
      <c r="P2" s="2">
        <v>25.3</v>
      </c>
      <c r="Q2" s="2">
        <v>15.7</v>
      </c>
      <c r="R2" s="3">
        <v>11.4</v>
      </c>
      <c r="S2" s="3">
        <v>4.0999999999999996</v>
      </c>
      <c r="T2" s="3">
        <v>4.7</v>
      </c>
      <c r="U2" s="3">
        <v>9.6999999999999993</v>
      </c>
      <c r="V2" s="3">
        <v>23</v>
      </c>
      <c r="W2" s="3">
        <v>8.3000000000000007</v>
      </c>
      <c r="X2" s="3">
        <v>79</v>
      </c>
      <c r="Y2" s="3">
        <v>83</v>
      </c>
      <c r="Z2" s="3" t="s">
        <v>30</v>
      </c>
      <c r="AA2" s="3" t="s">
        <v>41</v>
      </c>
      <c r="AB2" s="3" t="s">
        <v>41</v>
      </c>
      <c r="AC2" s="3" t="s">
        <v>56</v>
      </c>
      <c r="AD2" s="3"/>
    </row>
    <row r="3" spans="1:30" x14ac:dyDescent="0.2">
      <c r="A3" s="8">
        <v>38</v>
      </c>
      <c r="B3" s="8" t="s">
        <v>24</v>
      </c>
      <c r="C3" s="8" t="s">
        <v>25</v>
      </c>
      <c r="D3" s="8" t="s">
        <v>77</v>
      </c>
      <c r="E3" s="8">
        <v>3</v>
      </c>
      <c r="F3" s="8">
        <v>8</v>
      </c>
      <c r="G3" s="8">
        <v>3</v>
      </c>
      <c r="H3" s="8">
        <v>2023</v>
      </c>
      <c r="I3" s="8" t="s">
        <v>57</v>
      </c>
      <c r="J3" s="15" t="s">
        <v>66</v>
      </c>
      <c r="K3" s="19" t="s">
        <v>202</v>
      </c>
      <c r="L3" t="s">
        <v>209</v>
      </c>
      <c r="M3" s="18" t="s">
        <v>209</v>
      </c>
      <c r="N3" s="17" t="s">
        <v>27</v>
      </c>
      <c r="O3" s="8" t="s">
        <v>28</v>
      </c>
      <c r="P3" s="8">
        <v>43.2</v>
      </c>
      <c r="Q3" s="8">
        <v>15.5</v>
      </c>
      <c r="R3" s="9">
        <v>10</v>
      </c>
      <c r="S3" s="9">
        <v>5</v>
      </c>
      <c r="T3" s="9">
        <v>5.7</v>
      </c>
      <c r="U3" s="9">
        <v>10.8</v>
      </c>
      <c r="V3" s="9">
        <v>23.3</v>
      </c>
      <c r="W3" s="9">
        <v>11</v>
      </c>
      <c r="X3" s="9">
        <v>93</v>
      </c>
      <c r="Y3" s="9">
        <v>82</v>
      </c>
      <c r="Z3" s="9" t="s">
        <v>30</v>
      </c>
      <c r="AA3" s="9" t="s">
        <v>40</v>
      </c>
      <c r="AB3" s="9" t="s">
        <v>41</v>
      </c>
      <c r="AC3" s="9" t="s">
        <v>71</v>
      </c>
      <c r="AD3" s="9"/>
    </row>
    <row r="4" spans="1:30" x14ac:dyDescent="0.2">
      <c r="A4" s="8">
        <v>40</v>
      </c>
      <c r="B4" s="8" t="s">
        <v>24</v>
      </c>
      <c r="C4" s="8" t="s">
        <v>25</v>
      </c>
      <c r="D4" s="8" t="s">
        <v>77</v>
      </c>
      <c r="E4" s="8">
        <v>3</v>
      </c>
      <c r="F4" s="8">
        <v>8</v>
      </c>
      <c r="G4" s="8">
        <v>3</v>
      </c>
      <c r="H4" s="8">
        <v>2023</v>
      </c>
      <c r="I4" s="8" t="s">
        <v>58</v>
      </c>
      <c r="J4" s="15" t="s">
        <v>54</v>
      </c>
      <c r="K4" s="19" t="s">
        <v>203</v>
      </c>
      <c r="L4" s="20" t="s">
        <v>209</v>
      </c>
      <c r="M4" s="18" t="s">
        <v>210</v>
      </c>
      <c r="N4" s="17" t="s">
        <v>27</v>
      </c>
      <c r="O4" s="8" t="s">
        <v>39</v>
      </c>
      <c r="P4" s="8">
        <v>34.6</v>
      </c>
      <c r="Q4" s="8">
        <v>19.2</v>
      </c>
      <c r="R4" s="9">
        <v>14.4</v>
      </c>
      <c r="S4" s="9">
        <v>4.2</v>
      </c>
      <c r="T4" s="9">
        <v>5.4</v>
      </c>
      <c r="U4" s="9">
        <v>12.1</v>
      </c>
      <c r="V4" s="9">
        <v>23.9</v>
      </c>
      <c r="W4" s="9">
        <v>9.3000000000000007</v>
      </c>
      <c r="X4" s="9">
        <v>91</v>
      </c>
      <c r="Y4" s="9">
        <v>94</v>
      </c>
      <c r="Z4" s="9" t="s">
        <v>30</v>
      </c>
      <c r="AA4" s="9" t="s">
        <v>42</v>
      </c>
      <c r="AB4" s="9" t="s">
        <v>42</v>
      </c>
      <c r="AC4" s="13" t="s">
        <v>72</v>
      </c>
      <c r="AD4" s="9"/>
    </row>
    <row r="5" spans="1:30" x14ac:dyDescent="0.2">
      <c r="A5" s="2">
        <v>41</v>
      </c>
      <c r="B5" s="2" t="s">
        <v>24</v>
      </c>
      <c r="C5" s="2" t="s">
        <v>25</v>
      </c>
      <c r="D5" s="2" t="s">
        <v>77</v>
      </c>
      <c r="E5" s="2">
        <v>3</v>
      </c>
      <c r="F5" s="2">
        <v>8</v>
      </c>
      <c r="G5" s="2">
        <v>3</v>
      </c>
      <c r="H5" s="2">
        <v>2023</v>
      </c>
      <c r="I5" s="2" t="s">
        <v>59</v>
      </c>
      <c r="J5" s="14" t="s">
        <v>54</v>
      </c>
      <c r="K5" s="19" t="s">
        <v>203</v>
      </c>
      <c r="L5" s="20" t="s">
        <v>209</v>
      </c>
      <c r="M5" s="18" t="s">
        <v>210</v>
      </c>
      <c r="N5" s="16" t="s">
        <v>27</v>
      </c>
      <c r="O5" s="2" t="s">
        <v>38</v>
      </c>
      <c r="P5" s="2">
        <v>27.6</v>
      </c>
      <c r="Q5" s="2">
        <v>16.399999999999999</v>
      </c>
      <c r="R5" s="3">
        <v>11</v>
      </c>
      <c r="S5" s="3">
        <v>3.8</v>
      </c>
      <c r="T5" s="3">
        <v>4.5999999999999996</v>
      </c>
      <c r="U5" s="3">
        <v>10.4</v>
      </c>
      <c r="V5" s="3">
        <v>23.8</v>
      </c>
      <c r="W5" s="3">
        <v>8.8000000000000007</v>
      </c>
      <c r="X5" s="3">
        <v>84</v>
      </c>
      <c r="Y5" s="3">
        <v>89</v>
      </c>
      <c r="Z5" s="3" t="s">
        <v>30</v>
      </c>
      <c r="AA5" s="3" t="s">
        <v>41</v>
      </c>
      <c r="AB5" s="3" t="s">
        <v>41</v>
      </c>
      <c r="AC5" s="3" t="s">
        <v>73</v>
      </c>
      <c r="AD5" s="3"/>
    </row>
    <row r="6" spans="1:30" x14ac:dyDescent="0.2">
      <c r="A6" s="8">
        <v>50</v>
      </c>
      <c r="B6" s="8" t="s">
        <v>24</v>
      </c>
      <c r="C6" s="8" t="s">
        <v>25</v>
      </c>
      <c r="D6" s="8" t="s">
        <v>77</v>
      </c>
      <c r="E6" s="8">
        <v>3</v>
      </c>
      <c r="F6" s="8">
        <v>8</v>
      </c>
      <c r="G6" s="8">
        <v>3</v>
      </c>
      <c r="H6" s="8">
        <v>2023</v>
      </c>
      <c r="I6" s="8" t="s">
        <v>61</v>
      </c>
      <c r="J6" s="15" t="s">
        <v>66</v>
      </c>
      <c r="K6" s="19" t="s">
        <v>202</v>
      </c>
      <c r="L6" t="s">
        <v>209</v>
      </c>
      <c r="M6" s="18" t="s">
        <v>209</v>
      </c>
      <c r="N6" s="17" t="s">
        <v>27</v>
      </c>
      <c r="O6" s="8" t="s">
        <v>28</v>
      </c>
      <c r="P6" s="8">
        <v>36.200000000000003</v>
      </c>
      <c r="Q6" s="8">
        <v>17.7</v>
      </c>
      <c r="R6" s="9">
        <v>11</v>
      </c>
      <c r="S6" s="9">
        <v>5.2</v>
      </c>
      <c r="T6" s="9">
        <v>5.4</v>
      </c>
      <c r="U6" s="11" t="s">
        <v>169</v>
      </c>
      <c r="V6" s="9">
        <v>22.4</v>
      </c>
      <c r="W6" s="9" t="s">
        <v>29</v>
      </c>
      <c r="X6" s="9">
        <v>97</v>
      </c>
      <c r="Y6" s="9">
        <v>87</v>
      </c>
      <c r="Z6" s="9" t="s">
        <v>30</v>
      </c>
      <c r="AA6" s="9" t="s">
        <v>42</v>
      </c>
      <c r="AB6" s="9" t="s">
        <v>42</v>
      </c>
      <c r="AC6" s="9" t="s">
        <v>74</v>
      </c>
      <c r="AD6" s="9" t="s">
        <v>76</v>
      </c>
    </row>
    <row r="7" spans="1:30" x14ac:dyDescent="0.2">
      <c r="A7" s="2">
        <v>51</v>
      </c>
      <c r="B7" s="2" t="s">
        <v>24</v>
      </c>
      <c r="C7" s="2" t="s">
        <v>25</v>
      </c>
      <c r="D7" s="2" t="s">
        <v>77</v>
      </c>
      <c r="E7" s="2">
        <v>3</v>
      </c>
      <c r="F7" s="2">
        <v>8</v>
      </c>
      <c r="G7" s="2">
        <v>3</v>
      </c>
      <c r="H7" s="2">
        <v>2023</v>
      </c>
      <c r="I7" s="2" t="s">
        <v>62</v>
      </c>
      <c r="J7" s="14" t="s">
        <v>54</v>
      </c>
      <c r="K7" s="19" t="s">
        <v>203</v>
      </c>
      <c r="L7" s="20" t="s">
        <v>209</v>
      </c>
      <c r="M7" s="18" t="s">
        <v>210</v>
      </c>
      <c r="N7" s="16" t="s">
        <v>27</v>
      </c>
      <c r="O7" s="2" t="s">
        <v>28</v>
      </c>
      <c r="P7" s="2">
        <v>32.200000000000003</v>
      </c>
      <c r="Q7" s="2">
        <v>16.399999999999999</v>
      </c>
      <c r="R7" s="3">
        <v>12</v>
      </c>
      <c r="S7" s="3">
        <v>4</v>
      </c>
      <c r="T7" s="3">
        <v>4.7</v>
      </c>
      <c r="U7" s="3">
        <v>11.9</v>
      </c>
      <c r="V7" s="3">
        <v>23.5</v>
      </c>
      <c r="W7" s="3" t="s">
        <v>29</v>
      </c>
      <c r="X7" s="3">
        <v>84</v>
      </c>
      <c r="Y7" s="3">
        <v>86</v>
      </c>
      <c r="Z7" s="3" t="s">
        <v>30</v>
      </c>
      <c r="AA7" s="3" t="s">
        <v>42</v>
      </c>
      <c r="AB7" s="3" t="s">
        <v>42</v>
      </c>
      <c r="AC7" s="3" t="s">
        <v>75</v>
      </c>
      <c r="AD7" s="3" t="s">
        <v>76</v>
      </c>
    </row>
    <row r="8" spans="1:30" x14ac:dyDescent="0.2">
      <c r="A8" s="2">
        <v>61</v>
      </c>
      <c r="B8" s="2" t="s">
        <v>24</v>
      </c>
      <c r="C8" s="2" t="s">
        <v>25</v>
      </c>
      <c r="D8" s="2" t="s">
        <v>77</v>
      </c>
      <c r="E8" s="2">
        <v>3</v>
      </c>
      <c r="F8" s="2">
        <v>8</v>
      </c>
      <c r="G8" s="2">
        <v>3</v>
      </c>
      <c r="H8" s="2">
        <v>2023</v>
      </c>
      <c r="I8" s="2" t="s">
        <v>78</v>
      </c>
      <c r="J8" s="14" t="s">
        <v>90</v>
      </c>
      <c r="K8" s="19" t="s">
        <v>204</v>
      </c>
      <c r="L8" s="20" t="s">
        <v>209</v>
      </c>
      <c r="M8" s="18" t="s">
        <v>210</v>
      </c>
      <c r="N8" s="16" t="s">
        <v>27</v>
      </c>
      <c r="O8" s="2" t="s">
        <v>28</v>
      </c>
      <c r="P8" s="2">
        <v>42.7</v>
      </c>
      <c r="Q8" s="2">
        <v>16.2</v>
      </c>
      <c r="R8" s="3">
        <v>12.1</v>
      </c>
      <c r="S8" s="3">
        <v>7.8</v>
      </c>
      <c r="T8" s="3">
        <v>7.5</v>
      </c>
      <c r="U8" s="3">
        <v>13</v>
      </c>
      <c r="V8" s="3">
        <v>27.6</v>
      </c>
      <c r="W8" s="3" t="s">
        <v>29</v>
      </c>
      <c r="X8" s="3">
        <v>104</v>
      </c>
      <c r="Y8" s="3">
        <v>98</v>
      </c>
      <c r="Z8" s="3" t="s">
        <v>93</v>
      </c>
      <c r="AA8" s="3" t="s">
        <v>41</v>
      </c>
      <c r="AB8" s="3" t="s">
        <v>41</v>
      </c>
      <c r="AC8" s="3" t="s">
        <v>94</v>
      </c>
      <c r="AD8" s="3"/>
    </row>
    <row r="9" spans="1:30" s="10" customFormat="1" x14ac:dyDescent="0.2">
      <c r="A9" s="2">
        <v>64</v>
      </c>
      <c r="B9" s="2" t="s">
        <v>24</v>
      </c>
      <c r="C9" s="2" t="s">
        <v>25</v>
      </c>
      <c r="D9" s="2" t="s">
        <v>77</v>
      </c>
      <c r="E9" s="2">
        <v>3</v>
      </c>
      <c r="F9" s="2">
        <v>8</v>
      </c>
      <c r="G9" s="2">
        <v>3</v>
      </c>
      <c r="H9" s="2">
        <v>2023</v>
      </c>
      <c r="I9" s="2" t="s">
        <v>80</v>
      </c>
      <c r="J9" s="14" t="s">
        <v>54</v>
      </c>
      <c r="K9" s="19" t="s">
        <v>203</v>
      </c>
      <c r="L9" s="20" t="s">
        <v>209</v>
      </c>
      <c r="M9" s="18" t="s">
        <v>210</v>
      </c>
      <c r="N9" s="16" t="s">
        <v>27</v>
      </c>
      <c r="O9" s="2" t="s">
        <v>28</v>
      </c>
      <c r="P9" s="2">
        <v>32.9</v>
      </c>
      <c r="Q9" s="2">
        <v>17.5</v>
      </c>
      <c r="R9" s="3">
        <v>13.7</v>
      </c>
      <c r="S9" s="3">
        <v>4.4000000000000004</v>
      </c>
      <c r="T9" s="3">
        <v>5.3</v>
      </c>
      <c r="U9" s="3">
        <v>11.3</v>
      </c>
      <c r="V9" s="3">
        <v>24.5</v>
      </c>
      <c r="W9" s="3">
        <v>10.5</v>
      </c>
      <c r="X9" s="3">
        <v>90</v>
      </c>
      <c r="Y9" s="3">
        <v>87</v>
      </c>
      <c r="Z9" s="3" t="s">
        <v>30</v>
      </c>
      <c r="AA9" s="3" t="s">
        <v>42</v>
      </c>
      <c r="AB9" s="3" t="s">
        <v>42</v>
      </c>
      <c r="AC9" s="3" t="s">
        <v>95</v>
      </c>
      <c r="AD9" s="3"/>
    </row>
    <row r="10" spans="1:30" x14ac:dyDescent="0.2">
      <c r="A10" s="8">
        <v>69</v>
      </c>
      <c r="B10" s="8" t="s">
        <v>24</v>
      </c>
      <c r="C10" s="8" t="s">
        <v>25</v>
      </c>
      <c r="D10" s="8" t="s">
        <v>77</v>
      </c>
      <c r="E10" s="8">
        <v>3</v>
      </c>
      <c r="F10" s="8">
        <v>8</v>
      </c>
      <c r="G10" s="8">
        <v>3</v>
      </c>
      <c r="H10" s="8">
        <v>2023</v>
      </c>
      <c r="I10" s="8" t="s">
        <v>82</v>
      </c>
      <c r="J10" s="15" t="s">
        <v>66</v>
      </c>
      <c r="K10" s="19" t="s">
        <v>202</v>
      </c>
      <c r="L10" t="s">
        <v>209</v>
      </c>
      <c r="M10" s="18" t="s">
        <v>209</v>
      </c>
      <c r="N10" s="17" t="s">
        <v>27</v>
      </c>
      <c r="O10" s="8" t="s">
        <v>28</v>
      </c>
      <c r="P10" s="8">
        <v>33.700000000000003</v>
      </c>
      <c r="Q10" s="8">
        <v>15.9</v>
      </c>
      <c r="R10" s="9">
        <v>10.5</v>
      </c>
      <c r="S10" s="11" t="s">
        <v>169</v>
      </c>
      <c r="T10" s="9">
        <v>5.2</v>
      </c>
      <c r="U10" s="9">
        <v>11.6</v>
      </c>
      <c r="V10" s="9">
        <v>24.9</v>
      </c>
      <c r="W10" s="9">
        <v>15.8</v>
      </c>
      <c r="X10" s="9">
        <v>96</v>
      </c>
      <c r="Y10" s="9">
        <v>88</v>
      </c>
      <c r="Z10" s="9" t="s">
        <v>93</v>
      </c>
      <c r="AA10" s="9" t="s">
        <v>42</v>
      </c>
      <c r="AB10" s="9" t="s">
        <v>42</v>
      </c>
      <c r="AC10" s="9" t="s">
        <v>96</v>
      </c>
      <c r="AD10" s="9"/>
    </row>
    <row r="11" spans="1:30" x14ac:dyDescent="0.2">
      <c r="A11" s="2">
        <v>70</v>
      </c>
      <c r="B11" s="2" t="s">
        <v>24</v>
      </c>
      <c r="C11" s="2" t="s">
        <v>25</v>
      </c>
      <c r="D11" s="2" t="s">
        <v>77</v>
      </c>
      <c r="E11" s="2">
        <v>3</v>
      </c>
      <c r="F11" s="2">
        <v>8</v>
      </c>
      <c r="G11" s="2">
        <v>3</v>
      </c>
      <c r="H11" s="2">
        <v>2023</v>
      </c>
      <c r="I11" s="2" t="s">
        <v>83</v>
      </c>
      <c r="J11" s="14" t="s">
        <v>66</v>
      </c>
      <c r="K11" s="19" t="s">
        <v>202</v>
      </c>
      <c r="L11" t="s">
        <v>209</v>
      </c>
      <c r="M11" s="18" t="s">
        <v>209</v>
      </c>
      <c r="N11" s="16" t="s">
        <v>27</v>
      </c>
      <c r="O11" s="2" t="s">
        <v>28</v>
      </c>
      <c r="P11" s="2">
        <v>39.5</v>
      </c>
      <c r="Q11" s="2">
        <v>16.899999999999999</v>
      </c>
      <c r="R11" s="3">
        <v>10.199999999999999</v>
      </c>
      <c r="S11" s="3">
        <v>4.5</v>
      </c>
      <c r="T11" s="3">
        <v>5.0999999999999996</v>
      </c>
      <c r="U11" s="3">
        <v>11.1</v>
      </c>
      <c r="V11" s="3">
        <v>23.8</v>
      </c>
      <c r="W11" s="3" t="s">
        <v>29</v>
      </c>
      <c r="X11" s="3">
        <v>96</v>
      </c>
      <c r="Y11" s="3">
        <v>90</v>
      </c>
      <c r="Z11" s="3" t="s">
        <v>30</v>
      </c>
      <c r="AA11" s="3" t="s">
        <v>41</v>
      </c>
      <c r="AB11" s="3" t="s">
        <v>41</v>
      </c>
      <c r="AC11" s="3" t="s">
        <v>97</v>
      </c>
      <c r="AD11" s="3"/>
    </row>
    <row r="12" spans="1:30" x14ac:dyDescent="0.2">
      <c r="A12" s="2">
        <v>71</v>
      </c>
      <c r="B12" s="2" t="s">
        <v>24</v>
      </c>
      <c r="C12" s="2" t="s">
        <v>25</v>
      </c>
      <c r="D12" s="2" t="s">
        <v>77</v>
      </c>
      <c r="E12" s="2">
        <v>3</v>
      </c>
      <c r="F12" s="2">
        <v>8</v>
      </c>
      <c r="G12" s="2">
        <v>3</v>
      </c>
      <c r="H12" s="2">
        <v>2023</v>
      </c>
      <c r="I12" s="2" t="s">
        <v>84</v>
      </c>
      <c r="J12" s="14" t="s">
        <v>66</v>
      </c>
      <c r="K12" s="19" t="s">
        <v>202</v>
      </c>
      <c r="L12" t="s">
        <v>209</v>
      </c>
      <c r="M12" s="18" t="s">
        <v>209</v>
      </c>
      <c r="N12" s="16" t="s">
        <v>27</v>
      </c>
      <c r="O12" s="2" t="s">
        <v>28</v>
      </c>
      <c r="P12" s="2">
        <v>34.5</v>
      </c>
      <c r="Q12" s="2">
        <v>15.1</v>
      </c>
      <c r="R12" s="3">
        <v>10.1</v>
      </c>
      <c r="S12" s="3">
        <v>6.1</v>
      </c>
      <c r="T12" s="3">
        <v>5.3</v>
      </c>
      <c r="U12" s="3">
        <v>10.4</v>
      </c>
      <c r="V12" s="3">
        <v>24.8</v>
      </c>
      <c r="W12" s="3">
        <v>13.1</v>
      </c>
      <c r="X12" s="3">
        <v>93</v>
      </c>
      <c r="Y12" s="3" t="s">
        <v>29</v>
      </c>
      <c r="Z12" s="3" t="s">
        <v>93</v>
      </c>
      <c r="AA12" s="3" t="s">
        <v>42</v>
      </c>
      <c r="AB12" s="3" t="s">
        <v>42</v>
      </c>
      <c r="AC12" s="3" t="s">
        <v>98</v>
      </c>
      <c r="AD12" s="3"/>
    </row>
    <row r="13" spans="1:30" x14ac:dyDescent="0.2">
      <c r="A13" s="2">
        <v>72</v>
      </c>
      <c r="B13" s="2" t="s">
        <v>24</v>
      </c>
      <c r="C13" s="2" t="s">
        <v>25</v>
      </c>
      <c r="D13" s="2" t="s">
        <v>77</v>
      </c>
      <c r="E13" s="2">
        <v>3</v>
      </c>
      <c r="F13" s="2">
        <v>8</v>
      </c>
      <c r="G13" s="2">
        <v>3</v>
      </c>
      <c r="H13" s="2">
        <v>2023</v>
      </c>
      <c r="I13" s="2" t="s">
        <v>85</v>
      </c>
      <c r="J13" s="14" t="s">
        <v>66</v>
      </c>
      <c r="K13" s="19" t="s">
        <v>202</v>
      </c>
      <c r="L13" t="s">
        <v>209</v>
      </c>
      <c r="M13" s="18" t="s">
        <v>209</v>
      </c>
      <c r="N13" s="16" t="s">
        <v>27</v>
      </c>
      <c r="O13" s="2" t="s">
        <v>28</v>
      </c>
      <c r="P13" s="2">
        <v>30.4</v>
      </c>
      <c r="Q13" s="2">
        <v>14.5</v>
      </c>
      <c r="R13" s="3">
        <v>10</v>
      </c>
      <c r="S13" s="3">
        <v>5.3</v>
      </c>
      <c r="T13" s="3">
        <v>5.2</v>
      </c>
      <c r="U13" s="3">
        <v>10.199999999999999</v>
      </c>
      <c r="V13" s="3">
        <v>22.3</v>
      </c>
      <c r="W13" s="3" t="s">
        <v>29</v>
      </c>
      <c r="X13" s="3">
        <v>92</v>
      </c>
      <c r="Y13" s="3">
        <v>84</v>
      </c>
      <c r="Z13" s="3" t="s">
        <v>30</v>
      </c>
      <c r="AA13" s="3" t="s">
        <v>42</v>
      </c>
      <c r="AB13" s="3" t="s">
        <v>42</v>
      </c>
      <c r="AC13" s="3" t="s">
        <v>99</v>
      </c>
      <c r="AD13" s="3"/>
    </row>
    <row r="14" spans="1:30" x14ac:dyDescent="0.2">
      <c r="A14" s="2">
        <v>73</v>
      </c>
      <c r="B14" s="2" t="s">
        <v>24</v>
      </c>
      <c r="C14" s="2" t="s">
        <v>25</v>
      </c>
      <c r="D14" s="2" t="s">
        <v>77</v>
      </c>
      <c r="E14" s="2">
        <v>3</v>
      </c>
      <c r="F14" s="2">
        <v>8</v>
      </c>
      <c r="G14" s="2">
        <v>3</v>
      </c>
      <c r="H14" s="2">
        <v>2023</v>
      </c>
      <c r="I14" s="2" t="s">
        <v>86</v>
      </c>
      <c r="J14" s="14" t="s">
        <v>66</v>
      </c>
      <c r="K14" s="19" t="s">
        <v>202</v>
      </c>
      <c r="L14" t="s">
        <v>209</v>
      </c>
      <c r="M14" s="18" t="s">
        <v>209</v>
      </c>
      <c r="N14" s="16" t="s">
        <v>27</v>
      </c>
      <c r="O14" s="2" t="s">
        <v>28</v>
      </c>
      <c r="P14" s="2">
        <v>28.4</v>
      </c>
      <c r="Q14" s="2">
        <v>14.4</v>
      </c>
      <c r="R14" s="3">
        <v>10.1</v>
      </c>
      <c r="S14" s="3">
        <v>5.0999999999999996</v>
      </c>
      <c r="T14" s="3">
        <v>5.0999999999999996</v>
      </c>
      <c r="U14" s="3">
        <v>10.4</v>
      </c>
      <c r="V14" s="3">
        <v>22.6</v>
      </c>
      <c r="W14" s="3">
        <v>13.1</v>
      </c>
      <c r="X14" s="3">
        <v>93</v>
      </c>
      <c r="Y14" s="3">
        <v>87</v>
      </c>
      <c r="Z14" s="3" t="s">
        <v>93</v>
      </c>
      <c r="AA14" s="3" t="s">
        <v>41</v>
      </c>
      <c r="AB14" s="3" t="s">
        <v>41</v>
      </c>
      <c r="AC14" s="3" t="s">
        <v>100</v>
      </c>
      <c r="AD14" s="3"/>
    </row>
    <row r="15" spans="1:30" x14ac:dyDescent="0.2">
      <c r="A15" s="2">
        <v>74</v>
      </c>
      <c r="B15" s="2" t="s">
        <v>24</v>
      </c>
      <c r="C15" s="2" t="s">
        <v>25</v>
      </c>
      <c r="D15" s="2" t="s">
        <v>77</v>
      </c>
      <c r="E15" s="2">
        <v>3</v>
      </c>
      <c r="F15" s="2">
        <v>8</v>
      </c>
      <c r="G15" s="2">
        <v>3</v>
      </c>
      <c r="H15" s="2">
        <v>2023</v>
      </c>
      <c r="I15" s="2" t="s">
        <v>87</v>
      </c>
      <c r="J15" s="14" t="s">
        <v>66</v>
      </c>
      <c r="K15" s="19" t="s">
        <v>202</v>
      </c>
      <c r="L15" t="s">
        <v>209</v>
      </c>
      <c r="M15" s="18" t="s">
        <v>209</v>
      </c>
      <c r="N15" s="16" t="s">
        <v>27</v>
      </c>
      <c r="O15" s="2" t="s">
        <v>28</v>
      </c>
      <c r="P15" s="2">
        <v>35.700000000000003</v>
      </c>
      <c r="Q15" s="2">
        <v>16.2</v>
      </c>
      <c r="R15" s="3">
        <v>10.4</v>
      </c>
      <c r="S15" s="3">
        <v>4.8</v>
      </c>
      <c r="T15" s="3">
        <v>5.4</v>
      </c>
      <c r="U15" s="3">
        <v>11.9</v>
      </c>
      <c r="V15" s="3">
        <v>22.5</v>
      </c>
      <c r="W15" s="3">
        <v>12.4</v>
      </c>
      <c r="X15" s="3">
        <v>98</v>
      </c>
      <c r="Y15" s="3">
        <v>90</v>
      </c>
      <c r="Z15" s="3" t="s">
        <v>30</v>
      </c>
      <c r="AA15" s="3" t="s">
        <v>41</v>
      </c>
      <c r="AB15" s="3" t="s">
        <v>41</v>
      </c>
      <c r="AC15" s="3" t="s">
        <v>101</v>
      </c>
      <c r="AD15" s="3"/>
    </row>
    <row r="16" spans="1:30" x14ac:dyDescent="0.2">
      <c r="A16" s="2">
        <v>75</v>
      </c>
      <c r="B16" s="2" t="s">
        <v>24</v>
      </c>
      <c r="C16" s="2" t="s">
        <v>25</v>
      </c>
      <c r="D16" s="2" t="s">
        <v>77</v>
      </c>
      <c r="E16" s="2">
        <v>3</v>
      </c>
      <c r="F16" s="2">
        <v>8</v>
      </c>
      <c r="G16" s="2">
        <v>3</v>
      </c>
      <c r="H16" s="2">
        <v>2023</v>
      </c>
      <c r="I16" s="2" t="s">
        <v>88</v>
      </c>
      <c r="J16" s="14" t="s">
        <v>66</v>
      </c>
      <c r="K16" s="19" t="s">
        <v>202</v>
      </c>
      <c r="L16" t="s">
        <v>209</v>
      </c>
      <c r="M16" s="18" t="s">
        <v>209</v>
      </c>
      <c r="N16" s="16" t="s">
        <v>27</v>
      </c>
      <c r="O16" s="2" t="s">
        <v>28</v>
      </c>
      <c r="P16" s="2">
        <v>32</v>
      </c>
      <c r="Q16" s="2">
        <v>14.4</v>
      </c>
      <c r="R16" s="3">
        <v>10.1</v>
      </c>
      <c r="S16" s="3">
        <v>5.3</v>
      </c>
      <c r="T16" s="3">
        <v>5.4</v>
      </c>
      <c r="U16" s="3">
        <v>10.199999999999999</v>
      </c>
      <c r="V16" s="3">
        <v>22.7</v>
      </c>
      <c r="W16" s="3">
        <v>4.8</v>
      </c>
      <c r="X16" s="3">
        <v>91</v>
      </c>
      <c r="Y16" s="3">
        <v>84</v>
      </c>
      <c r="Z16" s="3" t="s">
        <v>93</v>
      </c>
      <c r="AA16" s="3" t="s">
        <v>41</v>
      </c>
      <c r="AB16" s="3" t="s">
        <v>41</v>
      </c>
      <c r="AC16" s="3" t="s">
        <v>102</v>
      </c>
      <c r="AD16" s="3"/>
    </row>
    <row r="17" spans="1:30" x14ac:dyDescent="0.2">
      <c r="A17" s="2">
        <v>77</v>
      </c>
      <c r="B17" s="2" t="s">
        <v>24</v>
      </c>
      <c r="C17" s="2" t="s">
        <v>25</v>
      </c>
      <c r="D17" s="2" t="s">
        <v>77</v>
      </c>
      <c r="E17" s="2">
        <v>3</v>
      </c>
      <c r="F17" s="2">
        <v>8</v>
      </c>
      <c r="G17" s="2">
        <v>3</v>
      </c>
      <c r="H17" s="2">
        <v>2023</v>
      </c>
      <c r="I17" s="2" t="s">
        <v>89</v>
      </c>
      <c r="J17" s="14" t="s">
        <v>66</v>
      </c>
      <c r="K17" s="19" t="s">
        <v>202</v>
      </c>
      <c r="L17" t="s">
        <v>209</v>
      </c>
      <c r="M17" s="18" t="s">
        <v>209</v>
      </c>
      <c r="N17" s="16" t="s">
        <v>27</v>
      </c>
      <c r="O17" s="2" t="s">
        <v>28</v>
      </c>
      <c r="P17" s="2">
        <v>35</v>
      </c>
      <c r="Q17" s="2">
        <v>14.5</v>
      </c>
      <c r="R17" s="3">
        <v>10.199999999999999</v>
      </c>
      <c r="S17" s="3">
        <v>5.0999999999999996</v>
      </c>
      <c r="T17" s="3">
        <v>5.3</v>
      </c>
      <c r="U17" s="3">
        <v>10.199999999999999</v>
      </c>
      <c r="V17" s="3">
        <v>23.5</v>
      </c>
      <c r="W17" s="3">
        <v>4.5999999999999996</v>
      </c>
      <c r="X17" s="3">
        <v>96</v>
      </c>
      <c r="Y17" s="3">
        <v>87</v>
      </c>
      <c r="Z17" s="3" t="s">
        <v>93</v>
      </c>
      <c r="AA17" s="3" t="s">
        <v>41</v>
      </c>
      <c r="AB17" s="3" t="s">
        <v>41</v>
      </c>
      <c r="AC17" s="3" t="s">
        <v>103</v>
      </c>
      <c r="AD17" s="3"/>
    </row>
    <row r="18" spans="1:30" x14ac:dyDescent="0.2">
      <c r="A18" s="2">
        <v>95</v>
      </c>
      <c r="B18" s="2" t="s">
        <v>24</v>
      </c>
      <c r="C18" s="2" t="s">
        <v>25</v>
      </c>
      <c r="D18" s="2" t="s">
        <v>77</v>
      </c>
      <c r="E18" s="2">
        <v>3</v>
      </c>
      <c r="F18" s="2">
        <v>8</v>
      </c>
      <c r="G18" s="2">
        <v>3</v>
      </c>
      <c r="H18" s="2">
        <v>2023</v>
      </c>
      <c r="I18" s="2" t="s">
        <v>105</v>
      </c>
      <c r="J18" s="14" t="s">
        <v>66</v>
      </c>
      <c r="K18" s="19" t="s">
        <v>202</v>
      </c>
      <c r="L18" t="s">
        <v>209</v>
      </c>
      <c r="M18" s="18" t="s">
        <v>209</v>
      </c>
      <c r="N18" s="16" t="s">
        <v>27</v>
      </c>
      <c r="O18" s="2" t="s">
        <v>28</v>
      </c>
      <c r="P18" s="2">
        <v>34</v>
      </c>
      <c r="Q18" s="2">
        <v>16.2</v>
      </c>
      <c r="R18" s="3">
        <v>10.4</v>
      </c>
      <c r="S18" s="3">
        <v>5.5</v>
      </c>
      <c r="T18" s="3">
        <v>5.4</v>
      </c>
      <c r="U18" s="3">
        <v>11.4</v>
      </c>
      <c r="V18" s="3">
        <v>22</v>
      </c>
      <c r="W18" s="3" t="s">
        <v>29</v>
      </c>
      <c r="X18" s="3">
        <v>98</v>
      </c>
      <c r="Y18" s="3">
        <v>91</v>
      </c>
      <c r="Z18" s="3" t="s">
        <v>30</v>
      </c>
      <c r="AA18" s="3" t="s">
        <v>40</v>
      </c>
      <c r="AB18" s="3" t="s">
        <v>41</v>
      </c>
      <c r="AC18" s="3" t="s">
        <v>111</v>
      </c>
      <c r="AD18" s="3" t="s">
        <v>76</v>
      </c>
    </row>
    <row r="19" spans="1:30" x14ac:dyDescent="0.2">
      <c r="A19" s="2">
        <v>120</v>
      </c>
      <c r="B19" s="2" t="s">
        <v>24</v>
      </c>
      <c r="C19" s="2" t="s">
        <v>25</v>
      </c>
      <c r="D19" s="2" t="s">
        <v>113</v>
      </c>
      <c r="E19" s="2">
        <v>4</v>
      </c>
      <c r="F19" s="2">
        <v>9</v>
      </c>
      <c r="G19" s="2">
        <v>3</v>
      </c>
      <c r="H19" s="2">
        <v>2023</v>
      </c>
      <c r="I19" s="2" t="s">
        <v>115</v>
      </c>
      <c r="J19" s="14" t="s">
        <v>66</v>
      </c>
      <c r="K19" s="19" t="s">
        <v>202</v>
      </c>
      <c r="L19" t="s">
        <v>209</v>
      </c>
      <c r="M19" s="18" t="s">
        <v>209</v>
      </c>
      <c r="N19" s="16" t="s">
        <v>27</v>
      </c>
      <c r="O19" s="2" t="s">
        <v>28</v>
      </c>
      <c r="P19" s="2">
        <v>36.9</v>
      </c>
      <c r="Q19" s="2">
        <v>15.2</v>
      </c>
      <c r="R19" s="3">
        <v>10.5</v>
      </c>
      <c r="S19" s="3">
        <v>4.7</v>
      </c>
      <c r="T19" s="3">
        <v>4.7</v>
      </c>
      <c r="U19" s="3">
        <v>11</v>
      </c>
      <c r="V19" s="3">
        <v>22</v>
      </c>
      <c r="W19" s="3">
        <v>14.6</v>
      </c>
      <c r="X19" s="3">
        <v>96</v>
      </c>
      <c r="Y19" s="3">
        <v>88</v>
      </c>
      <c r="Z19" s="3" t="s">
        <v>30</v>
      </c>
      <c r="AA19" s="3" t="s">
        <v>42</v>
      </c>
      <c r="AB19" s="3" t="s">
        <v>42</v>
      </c>
      <c r="AC19" s="3" t="s">
        <v>124</v>
      </c>
      <c r="AD19" s="3" t="s">
        <v>76</v>
      </c>
    </row>
    <row r="20" spans="1:30" x14ac:dyDescent="0.2">
      <c r="A20" s="2">
        <v>133</v>
      </c>
      <c r="B20" s="2" t="s">
        <v>24</v>
      </c>
      <c r="C20" s="2" t="s">
        <v>25</v>
      </c>
      <c r="D20" s="2" t="s">
        <v>113</v>
      </c>
      <c r="E20" s="2">
        <v>4</v>
      </c>
      <c r="F20" s="2">
        <v>9</v>
      </c>
      <c r="G20" s="2">
        <v>3</v>
      </c>
      <c r="H20" s="2">
        <v>2023</v>
      </c>
      <c r="I20" s="2" t="s">
        <v>116</v>
      </c>
      <c r="J20" s="14" t="s">
        <v>66</v>
      </c>
      <c r="K20" s="19" t="s">
        <v>202</v>
      </c>
      <c r="L20" t="s">
        <v>209</v>
      </c>
      <c r="M20" s="18" t="s">
        <v>209</v>
      </c>
      <c r="N20" s="16" t="s">
        <v>27</v>
      </c>
      <c r="O20" s="2" t="s">
        <v>28</v>
      </c>
      <c r="P20" s="2">
        <v>35.299999999999997</v>
      </c>
      <c r="Q20" s="2">
        <v>15.4</v>
      </c>
      <c r="R20" s="3">
        <v>10.5</v>
      </c>
      <c r="S20" s="3">
        <v>5</v>
      </c>
      <c r="T20" s="3">
        <v>5</v>
      </c>
      <c r="U20" s="3">
        <v>11.7</v>
      </c>
      <c r="V20" s="3">
        <v>21.7</v>
      </c>
      <c r="W20" s="3">
        <v>10.6</v>
      </c>
      <c r="X20" s="3">
        <v>94</v>
      </c>
      <c r="Y20" s="3">
        <v>89</v>
      </c>
      <c r="Z20" s="3" t="s">
        <v>30</v>
      </c>
      <c r="AA20" s="3" t="s">
        <v>41</v>
      </c>
      <c r="AB20" s="3" t="s">
        <v>41</v>
      </c>
      <c r="AC20" s="3" t="s">
        <v>125</v>
      </c>
      <c r="AD20" s="3"/>
    </row>
    <row r="21" spans="1:30" x14ac:dyDescent="0.2">
      <c r="A21" s="2">
        <v>213</v>
      </c>
      <c r="B21" s="2" t="s">
        <v>24</v>
      </c>
      <c r="C21" s="2" t="s">
        <v>25</v>
      </c>
      <c r="D21" s="2" t="s">
        <v>136</v>
      </c>
      <c r="E21" s="2">
        <v>1</v>
      </c>
      <c r="F21" s="2">
        <v>11</v>
      </c>
      <c r="G21" s="2">
        <v>3</v>
      </c>
      <c r="H21" s="2">
        <v>2023</v>
      </c>
      <c r="I21" s="2" t="s">
        <v>135</v>
      </c>
      <c r="J21" s="14" t="s">
        <v>66</v>
      </c>
      <c r="K21" s="19" t="s">
        <v>202</v>
      </c>
      <c r="L21" t="s">
        <v>209</v>
      </c>
      <c r="M21" s="18" t="s">
        <v>209</v>
      </c>
      <c r="N21" s="16" t="s">
        <v>27</v>
      </c>
      <c r="O21" s="2" t="s">
        <v>28</v>
      </c>
      <c r="P21" s="2">
        <v>37.5</v>
      </c>
      <c r="Q21" s="2">
        <v>15.5</v>
      </c>
      <c r="R21" s="3">
        <v>10</v>
      </c>
      <c r="S21" s="3">
        <v>4.5</v>
      </c>
      <c r="T21" s="3">
        <v>5.0999999999999996</v>
      </c>
      <c r="U21" s="3">
        <v>12.2</v>
      </c>
      <c r="V21" s="3">
        <v>23.4</v>
      </c>
      <c r="W21" s="3">
        <v>12</v>
      </c>
      <c r="X21" s="3">
        <v>97</v>
      </c>
      <c r="Y21" s="3">
        <v>91</v>
      </c>
      <c r="Z21" s="3" t="s">
        <v>137</v>
      </c>
      <c r="AA21" s="3" t="s">
        <v>41</v>
      </c>
      <c r="AB21" s="3" t="s">
        <v>41</v>
      </c>
      <c r="AC21" s="3" t="s">
        <v>138</v>
      </c>
      <c r="AD21" s="3" t="s">
        <v>142</v>
      </c>
    </row>
    <row r="22" spans="1:30" x14ac:dyDescent="0.2">
      <c r="A22" s="2">
        <v>307</v>
      </c>
      <c r="B22" s="2" t="s">
        <v>24</v>
      </c>
      <c r="C22" s="2" t="s">
        <v>25</v>
      </c>
      <c r="D22" s="2" t="s">
        <v>149</v>
      </c>
      <c r="E22" s="2">
        <v>1</v>
      </c>
      <c r="F22" s="2">
        <v>13</v>
      </c>
      <c r="G22" s="2">
        <v>3</v>
      </c>
      <c r="H22" s="2">
        <v>2023</v>
      </c>
      <c r="I22" s="2" t="s">
        <v>148</v>
      </c>
      <c r="J22" s="14" t="s">
        <v>66</v>
      </c>
      <c r="K22" s="19" t="s">
        <v>202</v>
      </c>
      <c r="L22" t="s">
        <v>209</v>
      </c>
      <c r="M22" s="18" t="s">
        <v>209</v>
      </c>
      <c r="N22" s="16" t="s">
        <v>27</v>
      </c>
      <c r="O22" s="2" t="s">
        <v>28</v>
      </c>
      <c r="P22" s="2">
        <v>38.700000000000003</v>
      </c>
      <c r="Q22" s="2">
        <v>16.8</v>
      </c>
      <c r="R22" s="3">
        <v>11.1</v>
      </c>
      <c r="S22" s="3">
        <v>4.4000000000000004</v>
      </c>
      <c r="T22" s="3">
        <v>5.4</v>
      </c>
      <c r="U22" s="3">
        <v>11.5</v>
      </c>
      <c r="V22" s="3">
        <v>23.5</v>
      </c>
      <c r="W22" s="3" t="s">
        <v>29</v>
      </c>
      <c r="X22" s="3">
        <v>96</v>
      </c>
      <c r="Y22" s="3">
        <v>85</v>
      </c>
      <c r="Z22" s="3" t="s">
        <v>30</v>
      </c>
      <c r="AA22" s="3" t="s">
        <v>41</v>
      </c>
      <c r="AB22" s="3" t="s">
        <v>41</v>
      </c>
      <c r="AC22" s="3" t="s">
        <v>150</v>
      </c>
      <c r="AD22" s="3"/>
    </row>
    <row r="23" spans="1:30" x14ac:dyDescent="0.2">
      <c r="A23" s="2">
        <v>319</v>
      </c>
      <c r="B23" s="2" t="s">
        <v>24</v>
      </c>
      <c r="C23" s="2" t="s">
        <v>25</v>
      </c>
      <c r="D23" s="2" t="s">
        <v>149</v>
      </c>
      <c r="E23" s="2">
        <v>1</v>
      </c>
      <c r="F23" s="2">
        <v>13</v>
      </c>
      <c r="G23" s="2">
        <v>3</v>
      </c>
      <c r="H23" s="2">
        <v>2023</v>
      </c>
      <c r="I23" s="2" t="s">
        <v>152</v>
      </c>
      <c r="J23" s="14" t="s">
        <v>54</v>
      </c>
      <c r="K23" s="19" t="s">
        <v>203</v>
      </c>
      <c r="L23" s="20" t="s">
        <v>209</v>
      </c>
      <c r="M23" s="18" t="s">
        <v>210</v>
      </c>
      <c r="N23" s="16" t="s">
        <v>27</v>
      </c>
      <c r="O23" s="2" t="s">
        <v>28</v>
      </c>
      <c r="P23" s="2">
        <v>29.8</v>
      </c>
      <c r="Q23" s="2">
        <v>15.7</v>
      </c>
      <c r="R23" s="3">
        <v>11.2</v>
      </c>
      <c r="S23" s="3">
        <v>3.5</v>
      </c>
      <c r="T23" s="3">
        <v>4.7</v>
      </c>
      <c r="U23" s="3">
        <v>10.1</v>
      </c>
      <c r="V23" s="3">
        <v>22.7</v>
      </c>
      <c r="W23" s="3">
        <v>10</v>
      </c>
      <c r="X23" s="3">
        <v>80</v>
      </c>
      <c r="Y23" s="3">
        <v>85</v>
      </c>
      <c r="Z23" s="3" t="s">
        <v>93</v>
      </c>
      <c r="AA23" s="3" t="s">
        <v>41</v>
      </c>
      <c r="AB23" s="3" t="s">
        <v>41</v>
      </c>
      <c r="AC23" s="3" t="s">
        <v>156</v>
      </c>
      <c r="AD23" s="3"/>
    </row>
    <row r="24" spans="1:30" x14ac:dyDescent="0.2">
      <c r="A24" s="2">
        <v>320</v>
      </c>
      <c r="B24" s="2" t="s">
        <v>24</v>
      </c>
      <c r="C24" s="2" t="s">
        <v>25</v>
      </c>
      <c r="D24" s="2" t="s">
        <v>149</v>
      </c>
      <c r="E24" s="2">
        <v>1</v>
      </c>
      <c r="F24" s="2">
        <v>13</v>
      </c>
      <c r="G24" s="2">
        <v>3</v>
      </c>
      <c r="H24" s="2">
        <v>2023</v>
      </c>
      <c r="I24" s="2" t="s">
        <v>153</v>
      </c>
      <c r="J24" s="14" t="s">
        <v>66</v>
      </c>
      <c r="K24" s="19" t="s">
        <v>202</v>
      </c>
      <c r="L24" t="s">
        <v>209</v>
      </c>
      <c r="M24" s="18" t="s">
        <v>209</v>
      </c>
      <c r="N24" s="16" t="s">
        <v>27</v>
      </c>
      <c r="O24" s="2" t="s">
        <v>28</v>
      </c>
      <c r="P24" s="2">
        <v>36.799999999999997</v>
      </c>
      <c r="Q24" s="2">
        <v>16.8</v>
      </c>
      <c r="R24" s="3">
        <v>10.3</v>
      </c>
      <c r="S24" s="3">
        <v>4.3</v>
      </c>
      <c r="T24" s="3">
        <v>5.6</v>
      </c>
      <c r="U24" s="3">
        <v>11.5</v>
      </c>
      <c r="V24" s="3">
        <v>22.1</v>
      </c>
      <c r="W24" s="3" t="s">
        <v>29</v>
      </c>
      <c r="X24" s="3">
        <v>92</v>
      </c>
      <c r="Y24" s="3">
        <v>87</v>
      </c>
      <c r="Z24" s="3" t="s">
        <v>30</v>
      </c>
      <c r="AA24" s="3" t="s">
        <v>41</v>
      </c>
      <c r="AB24" s="3" t="s">
        <v>41</v>
      </c>
      <c r="AC24" s="3" t="s">
        <v>157</v>
      </c>
      <c r="AD24" s="3"/>
    </row>
    <row r="25" spans="1:30" x14ac:dyDescent="0.2">
      <c r="A25" s="2">
        <v>329</v>
      </c>
      <c r="B25" s="2" t="s">
        <v>24</v>
      </c>
      <c r="C25" s="2" t="s">
        <v>25</v>
      </c>
      <c r="D25" s="2" t="s">
        <v>149</v>
      </c>
      <c r="E25" s="2">
        <v>1</v>
      </c>
      <c r="F25" s="2">
        <v>13</v>
      </c>
      <c r="G25" s="2">
        <v>3</v>
      </c>
      <c r="H25" s="2">
        <v>2023</v>
      </c>
      <c r="I25" s="2" t="s">
        <v>154</v>
      </c>
      <c r="J25" s="14" t="s">
        <v>54</v>
      </c>
      <c r="K25" s="19" t="s">
        <v>203</v>
      </c>
      <c r="L25" s="20" t="s">
        <v>209</v>
      </c>
      <c r="M25" s="18" t="s">
        <v>210</v>
      </c>
      <c r="N25" s="16" t="s">
        <v>27</v>
      </c>
      <c r="O25" s="2" t="s">
        <v>28</v>
      </c>
      <c r="P25" s="2">
        <v>34.700000000000003</v>
      </c>
      <c r="Q25" s="2">
        <v>16</v>
      </c>
      <c r="R25" s="3">
        <v>11.7</v>
      </c>
      <c r="S25" s="3">
        <v>4.2</v>
      </c>
      <c r="T25" s="3">
        <v>5.2</v>
      </c>
      <c r="U25" s="3">
        <v>12.2</v>
      </c>
      <c r="V25" s="3">
        <v>24.3</v>
      </c>
      <c r="W25" s="3" t="s">
        <v>29</v>
      </c>
      <c r="X25" s="3">
        <v>90</v>
      </c>
      <c r="Y25" s="3">
        <v>91</v>
      </c>
      <c r="Z25" s="3" t="s">
        <v>30</v>
      </c>
      <c r="AA25" s="3" t="s">
        <v>41</v>
      </c>
      <c r="AB25" s="3" t="s">
        <v>41</v>
      </c>
      <c r="AC25" s="3" t="s">
        <v>158</v>
      </c>
      <c r="AD25" s="3"/>
    </row>
    <row r="28" spans="1:30" x14ac:dyDescent="0.2">
      <c r="Z28" t="s">
        <v>211</v>
      </c>
    </row>
    <row r="29" spans="1:30" x14ac:dyDescent="0.2">
      <c r="Z29" t="s">
        <v>212</v>
      </c>
    </row>
    <row r="30" spans="1:30" x14ac:dyDescent="0.2">
      <c r="Z30" t="s">
        <v>213</v>
      </c>
    </row>
  </sheetData>
  <autoFilter ref="B1:AD25" xr:uid="{68812BF1-C1FE-49AD-B920-4A02A8AC51CE}"/>
  <sortState xmlns:xlrd2="http://schemas.microsoft.com/office/spreadsheetml/2017/richdata2" ref="B2:AD28">
    <sortCondition ref="H2:H28"/>
    <sortCondition ref="G2:G28"/>
    <sortCondition ref="F2:F28"/>
  </sortState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AFFAA-4E4A-47E6-9447-DB39CFBFDF02}">
  <dimension ref="A3:B63"/>
  <sheetViews>
    <sheetView topLeftCell="A43" workbookViewId="0">
      <selection activeCell="B64" sqref="B64"/>
    </sheetView>
  </sheetViews>
  <sheetFormatPr baseColWidth="10" defaultColWidth="8.83203125" defaultRowHeight="15" x14ac:dyDescent="0.2"/>
  <cols>
    <col min="1" max="1" width="41" bestFit="1" customWidth="1"/>
    <col min="2" max="2" width="30.1640625" bestFit="1" customWidth="1"/>
    <col min="3" max="3" width="2" bestFit="1" customWidth="1"/>
    <col min="4" max="4" width="7" bestFit="1" customWidth="1"/>
    <col min="5" max="5" width="10.6640625" bestFit="1" customWidth="1"/>
  </cols>
  <sheetData>
    <row r="3" spans="1:2" x14ac:dyDescent="0.2">
      <c r="A3" s="6" t="s">
        <v>166</v>
      </c>
      <c r="B3" t="s">
        <v>168</v>
      </c>
    </row>
    <row r="4" spans="1:2" x14ac:dyDescent="0.2">
      <c r="A4" s="7" t="s">
        <v>47</v>
      </c>
      <c r="B4">
        <v>1</v>
      </c>
    </row>
    <row r="5" spans="1:2" x14ac:dyDescent="0.2">
      <c r="A5" s="7" t="s">
        <v>55</v>
      </c>
      <c r="B5">
        <v>2</v>
      </c>
    </row>
    <row r="6" spans="1:2" x14ac:dyDescent="0.2">
      <c r="A6" s="7" t="s">
        <v>123</v>
      </c>
      <c r="B6">
        <v>1</v>
      </c>
    </row>
    <row r="7" spans="1:2" x14ac:dyDescent="0.2">
      <c r="A7" s="7" t="s">
        <v>119</v>
      </c>
      <c r="B7">
        <v>1</v>
      </c>
    </row>
    <row r="8" spans="1:2" x14ac:dyDescent="0.2">
      <c r="A8" s="7" t="s">
        <v>48</v>
      </c>
      <c r="B8">
        <v>17</v>
      </c>
    </row>
    <row r="9" spans="1:2" x14ac:dyDescent="0.2">
      <c r="A9" s="7" t="s">
        <v>92</v>
      </c>
      <c r="B9">
        <v>4</v>
      </c>
    </row>
    <row r="10" spans="1:2" x14ac:dyDescent="0.2">
      <c r="A10" s="7" t="s">
        <v>36</v>
      </c>
      <c r="B10">
        <v>4</v>
      </c>
    </row>
    <row r="11" spans="1:2" x14ac:dyDescent="0.2">
      <c r="A11" s="7" t="s">
        <v>69</v>
      </c>
      <c r="B11">
        <v>3</v>
      </c>
    </row>
    <row r="12" spans="1:2" x14ac:dyDescent="0.2">
      <c r="A12" s="7" t="s">
        <v>106</v>
      </c>
      <c r="B12">
        <v>18</v>
      </c>
    </row>
    <row r="13" spans="1:2" x14ac:dyDescent="0.2">
      <c r="A13" s="7" t="s">
        <v>164</v>
      </c>
      <c r="B13">
        <v>1</v>
      </c>
    </row>
    <row r="14" spans="1:2" x14ac:dyDescent="0.2">
      <c r="A14" s="7" t="s">
        <v>109</v>
      </c>
      <c r="B14">
        <v>11</v>
      </c>
    </row>
    <row r="15" spans="1:2" x14ac:dyDescent="0.2">
      <c r="A15" s="7" t="s">
        <v>66</v>
      </c>
      <c r="B15">
        <v>16</v>
      </c>
    </row>
    <row r="16" spans="1:2" x14ac:dyDescent="0.2">
      <c r="A16" s="7" t="s">
        <v>53</v>
      </c>
      <c r="B16">
        <v>3</v>
      </c>
    </row>
    <row r="17" spans="1:2" x14ac:dyDescent="0.2">
      <c r="A17" s="7" t="s">
        <v>130</v>
      </c>
      <c r="B17">
        <v>3</v>
      </c>
    </row>
    <row r="18" spans="1:2" x14ac:dyDescent="0.2">
      <c r="A18" s="7" t="s">
        <v>108</v>
      </c>
      <c r="B18">
        <v>21</v>
      </c>
    </row>
    <row r="19" spans="1:2" x14ac:dyDescent="0.2">
      <c r="A19" s="7" t="s">
        <v>49</v>
      </c>
      <c r="B19">
        <v>15</v>
      </c>
    </row>
    <row r="20" spans="1:2" x14ac:dyDescent="0.2">
      <c r="A20" s="7" t="s">
        <v>132</v>
      </c>
      <c r="B20">
        <v>3</v>
      </c>
    </row>
    <row r="21" spans="1:2" x14ac:dyDescent="0.2">
      <c r="A21" s="7" t="s">
        <v>91</v>
      </c>
      <c r="B21">
        <v>5</v>
      </c>
    </row>
    <row r="22" spans="1:2" x14ac:dyDescent="0.2">
      <c r="A22" s="7" t="s">
        <v>146</v>
      </c>
      <c r="B22">
        <v>3</v>
      </c>
    </row>
    <row r="23" spans="1:2" x14ac:dyDescent="0.2">
      <c r="A23" s="7" t="s">
        <v>110</v>
      </c>
      <c r="B23">
        <v>1</v>
      </c>
    </row>
    <row r="24" spans="1:2" x14ac:dyDescent="0.2">
      <c r="A24" s="7" t="s">
        <v>139</v>
      </c>
      <c r="B24">
        <v>1</v>
      </c>
    </row>
    <row r="25" spans="1:2" x14ac:dyDescent="0.2">
      <c r="A25" s="7" t="s">
        <v>120</v>
      </c>
      <c r="B25">
        <v>2</v>
      </c>
    </row>
    <row r="26" spans="1:2" x14ac:dyDescent="0.2">
      <c r="A26" s="7" t="s">
        <v>163</v>
      </c>
      <c r="B26">
        <v>2</v>
      </c>
    </row>
    <row r="27" spans="1:2" x14ac:dyDescent="0.2">
      <c r="A27" s="7" t="s">
        <v>112</v>
      </c>
    </row>
    <row r="28" spans="1:2" x14ac:dyDescent="0.2">
      <c r="A28" s="7" t="s">
        <v>104</v>
      </c>
    </row>
    <row r="29" spans="1:2" x14ac:dyDescent="0.2">
      <c r="A29" s="7" t="s">
        <v>127</v>
      </c>
      <c r="B29">
        <v>1</v>
      </c>
    </row>
    <row r="30" spans="1:2" x14ac:dyDescent="0.2">
      <c r="A30" s="7" t="s">
        <v>114</v>
      </c>
      <c r="B30">
        <v>1</v>
      </c>
    </row>
    <row r="31" spans="1:2" x14ac:dyDescent="0.2">
      <c r="A31" s="7" t="s">
        <v>51</v>
      </c>
      <c r="B31">
        <v>7</v>
      </c>
    </row>
    <row r="32" spans="1:2" x14ac:dyDescent="0.2">
      <c r="A32" s="7" t="s">
        <v>160</v>
      </c>
      <c r="B32">
        <v>1</v>
      </c>
    </row>
    <row r="33" spans="1:2" x14ac:dyDescent="0.2">
      <c r="A33" s="7" t="s">
        <v>121</v>
      </c>
      <c r="B33">
        <v>2</v>
      </c>
    </row>
    <row r="34" spans="1:2" x14ac:dyDescent="0.2">
      <c r="A34" s="7" t="s">
        <v>50</v>
      </c>
      <c r="B34">
        <v>3</v>
      </c>
    </row>
    <row r="35" spans="1:2" x14ac:dyDescent="0.2">
      <c r="A35" s="7" t="s">
        <v>37</v>
      </c>
      <c r="B35">
        <v>7</v>
      </c>
    </row>
    <row r="36" spans="1:2" x14ac:dyDescent="0.2">
      <c r="A36" s="7" t="s">
        <v>145</v>
      </c>
      <c r="B36">
        <v>1</v>
      </c>
    </row>
    <row r="37" spans="1:2" x14ac:dyDescent="0.2">
      <c r="A37" s="7" t="s">
        <v>65</v>
      </c>
      <c r="B37">
        <v>27</v>
      </c>
    </row>
    <row r="38" spans="1:2" x14ac:dyDescent="0.2">
      <c r="A38" s="7" t="s">
        <v>35</v>
      </c>
      <c r="B38">
        <v>11</v>
      </c>
    </row>
    <row r="39" spans="1:2" x14ac:dyDescent="0.2">
      <c r="A39" s="7" t="s">
        <v>143</v>
      </c>
      <c r="B39">
        <v>4</v>
      </c>
    </row>
    <row r="40" spans="1:2" x14ac:dyDescent="0.2">
      <c r="A40" s="7" t="s">
        <v>26</v>
      </c>
      <c r="B40">
        <v>2</v>
      </c>
    </row>
    <row r="41" spans="1:2" x14ac:dyDescent="0.2">
      <c r="A41" s="7" t="s">
        <v>64</v>
      </c>
      <c r="B41">
        <v>40</v>
      </c>
    </row>
    <row r="42" spans="1:2" x14ac:dyDescent="0.2">
      <c r="A42" s="7" t="s">
        <v>129</v>
      </c>
      <c r="B42">
        <v>27</v>
      </c>
    </row>
    <row r="43" spans="1:2" x14ac:dyDescent="0.2">
      <c r="A43" s="7" t="s">
        <v>134</v>
      </c>
      <c r="B43">
        <v>4</v>
      </c>
    </row>
    <row r="44" spans="1:2" x14ac:dyDescent="0.2">
      <c r="A44" s="7" t="s">
        <v>118</v>
      </c>
      <c r="B44">
        <v>2</v>
      </c>
    </row>
    <row r="45" spans="1:2" x14ac:dyDescent="0.2">
      <c r="A45" s="7" t="s">
        <v>122</v>
      </c>
      <c r="B45">
        <v>1</v>
      </c>
    </row>
    <row r="46" spans="1:2" x14ac:dyDescent="0.2">
      <c r="A46" s="7" t="s">
        <v>34</v>
      </c>
      <c r="B46">
        <v>1</v>
      </c>
    </row>
    <row r="47" spans="1:2" x14ac:dyDescent="0.2">
      <c r="A47" s="7" t="s">
        <v>33</v>
      </c>
      <c r="B47">
        <v>12</v>
      </c>
    </row>
    <row r="48" spans="1:2" x14ac:dyDescent="0.2">
      <c r="A48" s="7" t="s">
        <v>54</v>
      </c>
      <c r="B48">
        <v>7</v>
      </c>
    </row>
    <row r="49" spans="1:2" x14ac:dyDescent="0.2">
      <c r="A49" s="7" t="s">
        <v>141</v>
      </c>
      <c r="B49">
        <v>3</v>
      </c>
    </row>
    <row r="50" spans="1:2" x14ac:dyDescent="0.2">
      <c r="A50" s="7" t="s">
        <v>52</v>
      </c>
      <c r="B50">
        <v>5</v>
      </c>
    </row>
    <row r="51" spans="1:2" x14ac:dyDescent="0.2">
      <c r="A51" s="7" t="s">
        <v>67</v>
      </c>
      <c r="B51">
        <v>8</v>
      </c>
    </row>
    <row r="52" spans="1:2" x14ac:dyDescent="0.2">
      <c r="A52" s="7" t="s">
        <v>107</v>
      </c>
      <c r="B52">
        <v>2</v>
      </c>
    </row>
    <row r="53" spans="1:2" x14ac:dyDescent="0.2">
      <c r="A53" s="7" t="s">
        <v>117</v>
      </c>
      <c r="B53">
        <v>3</v>
      </c>
    </row>
    <row r="54" spans="1:2" x14ac:dyDescent="0.2">
      <c r="A54" s="7" t="s">
        <v>68</v>
      </c>
      <c r="B54">
        <v>4</v>
      </c>
    </row>
    <row r="55" spans="1:2" x14ac:dyDescent="0.2">
      <c r="A55" s="7" t="s">
        <v>32</v>
      </c>
      <c r="B55">
        <v>36</v>
      </c>
    </row>
    <row r="56" spans="1:2" x14ac:dyDescent="0.2">
      <c r="A56" s="7" t="s">
        <v>90</v>
      </c>
      <c r="B56">
        <v>2</v>
      </c>
    </row>
    <row r="57" spans="1:2" x14ac:dyDescent="0.2">
      <c r="A57" s="7" t="s">
        <v>70</v>
      </c>
      <c r="B57">
        <v>3</v>
      </c>
    </row>
    <row r="58" spans="1:2" x14ac:dyDescent="0.2">
      <c r="A58" s="7" t="s">
        <v>144</v>
      </c>
      <c r="B58">
        <v>1</v>
      </c>
    </row>
    <row r="59" spans="1:2" x14ac:dyDescent="0.2">
      <c r="A59" s="7" t="s">
        <v>167</v>
      </c>
      <c r="B59">
        <v>366</v>
      </c>
    </row>
    <row r="61" spans="1:2" x14ac:dyDescent="0.2">
      <c r="A61" s="7" t="s">
        <v>170</v>
      </c>
    </row>
    <row r="62" spans="1:2" x14ac:dyDescent="0.2">
      <c r="A62" s="7" t="s">
        <v>171</v>
      </c>
    </row>
    <row r="63" spans="1:2" x14ac:dyDescent="0.2">
      <c r="A63" s="7" t="s">
        <v>172</v>
      </c>
      <c r="B63">
        <f>240/370*100</f>
        <v>64.86486486486487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35EC-4AB8-43BE-B9F9-A714199CDC26}">
  <dimension ref="A1:E23"/>
  <sheetViews>
    <sheetView workbookViewId="0">
      <selection activeCell="A21" sqref="A21:XFD21"/>
    </sheetView>
  </sheetViews>
  <sheetFormatPr baseColWidth="10" defaultColWidth="8.83203125" defaultRowHeight="15" x14ac:dyDescent="0.2"/>
  <cols>
    <col min="2" max="2" width="23.83203125" customWidth="1"/>
    <col min="3" max="3" width="19.6640625" customWidth="1"/>
    <col min="4" max="4" width="28.5" customWidth="1"/>
  </cols>
  <sheetData>
    <row r="1" spans="1:5" x14ac:dyDescent="0.2">
      <c r="A1" t="s">
        <v>194</v>
      </c>
    </row>
    <row r="2" spans="1:5" x14ac:dyDescent="0.2">
      <c r="C2" t="s">
        <v>195</v>
      </c>
      <c r="D2" s="12" t="s">
        <v>196</v>
      </c>
      <c r="E2" t="s">
        <v>6</v>
      </c>
    </row>
    <row r="3" spans="1:5" x14ac:dyDescent="0.2">
      <c r="A3" s="2" t="s">
        <v>140</v>
      </c>
      <c r="B3" s="2" t="s">
        <v>129</v>
      </c>
      <c r="C3" s="3" t="s">
        <v>173</v>
      </c>
      <c r="D3" s="12">
        <v>18.399999999999999</v>
      </c>
    </row>
    <row r="4" spans="1:5" x14ac:dyDescent="0.2">
      <c r="A4" s="2" t="s">
        <v>133</v>
      </c>
      <c r="B4" s="2" t="s">
        <v>129</v>
      </c>
      <c r="C4" s="3" t="s">
        <v>174</v>
      </c>
      <c r="D4" s="12">
        <v>20.8</v>
      </c>
    </row>
    <row r="5" spans="1:5" x14ac:dyDescent="0.2">
      <c r="A5" s="2" t="s">
        <v>60</v>
      </c>
      <c r="B5" s="2" t="s">
        <v>64</v>
      </c>
      <c r="C5" s="3" t="s">
        <v>175</v>
      </c>
      <c r="D5" s="12">
        <v>19.3</v>
      </c>
    </row>
    <row r="6" spans="1:5" x14ac:dyDescent="0.2">
      <c r="A6" s="2" t="s">
        <v>63</v>
      </c>
      <c r="B6" s="2" t="s">
        <v>64</v>
      </c>
      <c r="C6" s="3" t="s">
        <v>176</v>
      </c>
      <c r="D6" s="12">
        <v>21.7</v>
      </c>
    </row>
    <row r="7" spans="1:5" x14ac:dyDescent="0.2">
      <c r="A7" s="2" t="s">
        <v>81</v>
      </c>
      <c r="B7" s="2" t="s">
        <v>32</v>
      </c>
      <c r="C7" s="3" t="s">
        <v>177</v>
      </c>
      <c r="D7" s="12">
        <v>23.5</v>
      </c>
    </row>
    <row r="8" spans="1:5" x14ac:dyDescent="0.2">
      <c r="A8" s="2" t="s">
        <v>44</v>
      </c>
      <c r="B8" s="2" t="s">
        <v>48</v>
      </c>
      <c r="C8" s="3" t="s">
        <v>178</v>
      </c>
      <c r="D8" s="12" t="s">
        <v>201</v>
      </c>
    </row>
    <row r="9" spans="1:5" x14ac:dyDescent="0.2">
      <c r="A9" s="2" t="s">
        <v>61</v>
      </c>
      <c r="B9" s="2" t="s">
        <v>66</v>
      </c>
      <c r="C9" s="3" t="s">
        <v>179</v>
      </c>
      <c r="D9" s="12" t="s">
        <v>169</v>
      </c>
    </row>
    <row r="10" spans="1:5" x14ac:dyDescent="0.2">
      <c r="A10" s="2" t="s">
        <v>159</v>
      </c>
      <c r="B10" s="2" t="s">
        <v>51</v>
      </c>
      <c r="C10" s="3" t="s">
        <v>180</v>
      </c>
      <c r="D10" s="12" t="s">
        <v>169</v>
      </c>
    </row>
    <row r="11" spans="1:5" x14ac:dyDescent="0.2">
      <c r="A11" s="2" t="s">
        <v>161</v>
      </c>
      <c r="B11" s="2" t="s">
        <v>129</v>
      </c>
      <c r="C11" s="3" t="s">
        <v>181</v>
      </c>
      <c r="D11" s="12" t="s">
        <v>169</v>
      </c>
    </row>
    <row r="12" spans="1:5" x14ac:dyDescent="0.2">
      <c r="A12" s="2" t="s">
        <v>82</v>
      </c>
      <c r="B12" s="2" t="s">
        <v>66</v>
      </c>
      <c r="C12" s="3" t="s">
        <v>182</v>
      </c>
      <c r="D12" s="12" t="s">
        <v>169</v>
      </c>
    </row>
    <row r="13" spans="1:5" x14ac:dyDescent="0.2">
      <c r="A13" s="2" t="s">
        <v>131</v>
      </c>
      <c r="B13" s="2" t="s">
        <v>129</v>
      </c>
      <c r="C13" s="3" t="s">
        <v>183</v>
      </c>
      <c r="D13" s="12" t="s">
        <v>169</v>
      </c>
    </row>
    <row r="14" spans="1:5" x14ac:dyDescent="0.2">
      <c r="A14" s="2" t="s">
        <v>151</v>
      </c>
      <c r="B14" s="2" t="s">
        <v>32</v>
      </c>
      <c r="C14" s="3" t="s">
        <v>184</v>
      </c>
      <c r="D14" s="12" t="s">
        <v>169</v>
      </c>
    </row>
    <row r="15" spans="1:5" x14ac:dyDescent="0.2">
      <c r="A15" s="2" t="s">
        <v>58</v>
      </c>
      <c r="B15" s="2" t="s">
        <v>54</v>
      </c>
      <c r="C15" s="3" t="s">
        <v>185</v>
      </c>
      <c r="D15" s="12" t="s">
        <v>197</v>
      </c>
      <c r="E15" t="s">
        <v>198</v>
      </c>
    </row>
    <row r="16" spans="1:5" x14ac:dyDescent="0.2">
      <c r="A16" s="2" t="s">
        <v>147</v>
      </c>
      <c r="B16" s="2" t="s">
        <v>129</v>
      </c>
      <c r="C16" s="3" t="s">
        <v>186</v>
      </c>
      <c r="D16" s="12" t="s">
        <v>169</v>
      </c>
    </row>
    <row r="17" spans="1:5" x14ac:dyDescent="0.2">
      <c r="A17" s="2" t="s">
        <v>126</v>
      </c>
      <c r="B17" s="2" t="s">
        <v>32</v>
      </c>
      <c r="C17" s="3" t="s">
        <v>187</v>
      </c>
      <c r="D17" s="12">
        <v>19.3</v>
      </c>
    </row>
    <row r="18" spans="1:5" x14ac:dyDescent="0.2">
      <c r="A18" s="2" t="s">
        <v>155</v>
      </c>
      <c r="B18" s="2" t="s">
        <v>32</v>
      </c>
      <c r="C18" s="3" t="s">
        <v>188</v>
      </c>
      <c r="D18" s="12">
        <v>18.600000000000001</v>
      </c>
    </row>
    <row r="19" spans="1:5" x14ac:dyDescent="0.2">
      <c r="A19" s="2" t="s">
        <v>128</v>
      </c>
      <c r="B19" s="2" t="s">
        <v>129</v>
      </c>
      <c r="C19" s="3" t="s">
        <v>189</v>
      </c>
      <c r="D19" s="12">
        <v>18</v>
      </c>
    </row>
    <row r="20" spans="1:5" x14ac:dyDescent="0.2">
      <c r="A20" s="2" t="s">
        <v>45</v>
      </c>
      <c r="B20" s="2" t="s">
        <v>51</v>
      </c>
      <c r="C20" s="3" t="s">
        <v>190</v>
      </c>
      <c r="D20" s="12" t="s">
        <v>169</v>
      </c>
    </row>
    <row r="21" spans="1:5" x14ac:dyDescent="0.2">
      <c r="A21" s="2" t="s">
        <v>79</v>
      </c>
      <c r="B21" s="2" t="s">
        <v>91</v>
      </c>
      <c r="C21" s="3" t="s">
        <v>191</v>
      </c>
      <c r="D21" s="12" t="s">
        <v>200</v>
      </c>
      <c r="E21" t="s">
        <v>199</v>
      </c>
    </row>
    <row r="22" spans="1:5" x14ac:dyDescent="0.2">
      <c r="A22" s="2" t="s">
        <v>162</v>
      </c>
      <c r="B22" s="2" t="s">
        <v>108</v>
      </c>
      <c r="C22" s="3" t="s">
        <v>192</v>
      </c>
      <c r="D22" s="12">
        <v>28.2</v>
      </c>
    </row>
    <row r="23" spans="1:5" x14ac:dyDescent="0.2">
      <c r="A23" s="2" t="s">
        <v>57</v>
      </c>
      <c r="B23" s="2" t="s">
        <v>66</v>
      </c>
      <c r="C23" s="3" t="s">
        <v>193</v>
      </c>
      <c r="D23" s="12" t="s">
        <v>200</v>
      </c>
      <c r="E23" t="s">
        <v>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7B7974C5A91B4797D53862C10020A9" ma:contentTypeVersion="3" ma:contentTypeDescription="Create a new document." ma:contentTypeScope="" ma:versionID="74fc988910b356ad18ca8b44158cc3a9">
  <xsd:schema xmlns:xsd="http://www.w3.org/2001/XMLSchema" xmlns:xs="http://www.w3.org/2001/XMLSchema" xmlns:p="http://schemas.microsoft.com/office/2006/metadata/properties" xmlns:ns3="aac0f738-76da-4248-b7d4-a9845bb9583f" xmlns:ns4="019a0b54-c353-42b2-a542-0e4cadb785c1" targetNamespace="http://schemas.microsoft.com/office/2006/metadata/properties" ma:root="true" ma:fieldsID="f222e9a50b5dab217734a1f9aacbce51" ns3:_="" ns4:_="">
    <xsd:import namespace="aac0f738-76da-4248-b7d4-a9845bb9583f"/>
    <xsd:import namespace="019a0b54-c353-42b2-a542-0e4cadb785c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c0f738-76da-4248-b7d4-a9845bb9583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a0b54-c353-42b2-a542-0e4cadb785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4EC164-DE6C-4655-B4BA-4B0F14A049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65BF69-9993-487B-8969-B92202D78C08}">
  <ds:schemaRefs>
    <ds:schemaRef ds:uri="http://purl.org/dc/dcmitype/"/>
    <ds:schemaRef ds:uri="aac0f738-76da-4248-b7d4-a9845bb9583f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019a0b54-c353-42b2-a542-0e4cadb785c1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E60F0A0-DB25-45E5-B159-C7DC2FA340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c0f738-76da-4248-b7d4-a9845bb9583f"/>
    <ds:schemaRef ds:uri="019a0b54-c353-42b2-a542-0e4cadb785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Point count</vt:lpstr>
      <vt:lpstr>Summary</vt:lpstr>
      <vt:lpstr>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Devenish</dc:creator>
  <cp:lastModifiedBy>Tobias, Joseph A</cp:lastModifiedBy>
  <dcterms:created xsi:type="dcterms:W3CDTF">2020-12-09T23:50:12Z</dcterms:created>
  <dcterms:modified xsi:type="dcterms:W3CDTF">2026-04-13T08:56:21Z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0x010100677B7974C5A91B4797D53862C10020A9</vt:lpwstr>
  </property>
</Properties>
</file>