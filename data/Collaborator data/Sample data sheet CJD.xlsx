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608FC4A3-4E97-F248-B565-E3A58BBC3C48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Raw" sheetId="1" r:id="rId1"/>
  </sheets>
  <definedNames>
    <definedName name="_xlnm._FilterDatabase" localSheetId="0" hidden="1">Raw!$A$1:$Y$26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31" i="1" l="1"/>
  <c r="X27" i="1"/>
  <c r="X30" i="1"/>
  <c r="X28" i="1"/>
  <c r="X29" i="1"/>
  <c r="X21" i="1"/>
  <c r="X24" i="1"/>
  <c r="X23" i="1"/>
  <c r="X22" i="1"/>
  <c r="X20" i="1"/>
  <c r="X25" i="1"/>
  <c r="X26" i="1"/>
  <c r="X19" i="1"/>
  <c r="X18" i="1"/>
  <c r="X9" i="1"/>
  <c r="X8" i="1"/>
  <c r="X14" i="1"/>
  <c r="X17" i="1"/>
  <c r="X13" i="1"/>
  <c r="X12" i="1"/>
  <c r="X11" i="1"/>
  <c r="X16" i="1"/>
  <c r="X10" i="1"/>
  <c r="X6" i="1"/>
  <c r="X7" i="1"/>
  <c r="X5" i="1"/>
  <c r="X4" i="1"/>
  <c r="X3" i="1"/>
  <c r="X2" i="1"/>
  <c r="X15" i="1"/>
</calcChain>
</file>

<file path=xl/sharedStrings.xml><?xml version="1.0" encoding="utf-8"?>
<sst xmlns="http://schemas.openxmlformats.org/spreadsheetml/2006/main" count="426" uniqueCount="142">
  <si>
    <t>Family</t>
  </si>
  <si>
    <t>English Name</t>
  </si>
  <si>
    <t>Scientific_Name</t>
  </si>
  <si>
    <t>White-throated Bulbul</t>
  </si>
  <si>
    <t>Alophoixus flaveolus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</si>
  <si>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</si>
  <si>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</si>
  <si>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</si>
  <si>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</si>
  <si>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</si>
  <si>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</si>
  <si>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</si>
  <si>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</si>
  <si>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</si>
  <si>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</si>
  <si>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</si>
  <si>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</si>
  <si>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</si>
  <si>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</si>
  <si>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</si>
  <si>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</si>
  <si>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</si>
  <si>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</si>
  <si>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</si>
  <si>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</si>
  <si>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</si>
  <si>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</si>
  <si>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</si>
  <si>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</si>
  <si>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University of Cambridge Museum of Zoology</t>
  </si>
  <si>
    <t>India</t>
  </si>
  <si>
    <t>Notes</t>
  </si>
  <si>
    <t>Date measured</t>
  </si>
  <si>
    <t>flaveolus</t>
  </si>
  <si>
    <t>Museum label Criniger flaveolus flaveolus</t>
  </si>
  <si>
    <t>Streaked Bulbul</t>
  </si>
  <si>
    <t>Ixos malaccensis</t>
  </si>
  <si>
    <t>Carla du Toit</t>
  </si>
  <si>
    <t>Penan bulbul</t>
  </si>
  <si>
    <t>Alophoixus ruficrissus</t>
  </si>
  <si>
    <t>UMZC 27/Pyc/5/g/6</t>
  </si>
  <si>
    <t>1898</t>
  </si>
  <si>
    <t>Malaysia</t>
  </si>
  <si>
    <t>drawer 40-7</t>
  </si>
  <si>
    <t>26.03.2026</t>
  </si>
  <si>
    <t>fowleri</t>
  </si>
  <si>
    <t>Museum label Criniger ochraceus fowleri</t>
  </si>
  <si>
    <t>Brown-eared bulbul</t>
  </si>
  <si>
    <t>Hypsipetes amaurotis</t>
  </si>
  <si>
    <t>UMZC 27/Pyc/6/b/7</t>
  </si>
  <si>
    <t>1901</t>
  </si>
  <si>
    <t>Kumamoto, Kyushu</t>
  </si>
  <si>
    <t>Japan</t>
  </si>
  <si>
    <t>amaurotis</t>
  </si>
  <si>
    <t>Couldn't get tarsus measurment - one leg broken, other bent into dried skin</t>
  </si>
  <si>
    <t>UMZC 27/Pyc/6/b/6</t>
  </si>
  <si>
    <t>UMZC 27/Pyc/6/b/2</t>
  </si>
  <si>
    <t>UMZC 27/Pyc/6/b/4</t>
  </si>
  <si>
    <t>UMZC 27/Pyc/6/b/5</t>
  </si>
  <si>
    <t>1885</t>
  </si>
  <si>
    <t>UMZC 27/Pyc/6/b/1</t>
  </si>
  <si>
    <t>1884</t>
  </si>
  <si>
    <t>UMZC 27/Pyc/5/g/5</t>
  </si>
  <si>
    <t>1892</t>
  </si>
  <si>
    <t>Kina Balu, Sabah, Borneo</t>
  </si>
  <si>
    <t>Sarawak, Mt Dulit, Baram Dist, Borneo</t>
  </si>
  <si>
    <t>Museum label Criniger ochraceus fowleri; **according to BotW, this area correct subspp is ruficrissus</t>
  </si>
  <si>
    <t>ruficrissus</t>
  </si>
  <si>
    <t>27.03.2026</t>
  </si>
  <si>
    <t>UMZC 27/Pyc/5/g/7</t>
  </si>
  <si>
    <t>UMZC 27/Pyc/5/g/8</t>
  </si>
  <si>
    <t>Museum label Criniger ochraceus ruficrissus</t>
  </si>
  <si>
    <t>UMZC 27/Pyc/5/g/9</t>
  </si>
  <si>
    <t>UMZC 27/Pyc/5/g/2</t>
  </si>
  <si>
    <t>1895</t>
  </si>
  <si>
    <t>Museum label Criniger ochraceus fowleri; anterior tip of bill broken, couldn't measure bill lengths</t>
  </si>
  <si>
    <t>UMZC 27/Pyc/5/g/1</t>
  </si>
  <si>
    <t>1893</t>
  </si>
  <si>
    <t>Sarawak, Mt Mulu, Baram Dist, Borneo</t>
  </si>
  <si>
    <t>UMZC 27/Pyc/5/g/3</t>
  </si>
  <si>
    <t>UMZC 27/Pyc/6/d/3</t>
  </si>
  <si>
    <t>Museum label Hypsipetes charlottae; definitely incorrect ID, based on plumage - highly streaked breast feathers and pale belly</t>
  </si>
  <si>
    <t>UMZC 27/Pyc/6/d/4</t>
  </si>
  <si>
    <t>Hairy-backed Bulbul</t>
  </si>
  <si>
    <t>Tricholestes criniger</t>
  </si>
  <si>
    <t>1899</t>
  </si>
  <si>
    <t>Oring, Kelantan</t>
  </si>
  <si>
    <t>30.03.2026</t>
  </si>
  <si>
    <t>Museum label Hypsipetes criniger; on system documented as male, but on original label says female; missing tail feathers</t>
  </si>
  <si>
    <t>Iole finschii</t>
  </si>
  <si>
    <t>Finsch's bulbul</t>
  </si>
  <si>
    <t>UMZC 27/Pyc/6/f/1</t>
  </si>
  <si>
    <t>UMZC 27/Pyc/5/d/1</t>
  </si>
  <si>
    <t>Sarawak, Mt Kalulong, Baram Dist, Borneo</t>
  </si>
  <si>
    <t>Museum label Criniger finschii</t>
  </si>
  <si>
    <t>1874</t>
  </si>
  <si>
    <t>Tezpur</t>
  </si>
  <si>
    <t>Darjeeling</t>
  </si>
  <si>
    <t>Criniger calurus</t>
  </si>
  <si>
    <t>Red-tailed greenbul</t>
  </si>
  <si>
    <t>UMZC 27/Pyc/5/e/2</t>
  </si>
  <si>
    <t>UMZC 27/Pyc/5/e/4</t>
  </si>
  <si>
    <t>1966</t>
  </si>
  <si>
    <t>Ghana</t>
  </si>
  <si>
    <t>verreauxi</t>
  </si>
  <si>
    <t>Grey-cheeked bulbul</t>
  </si>
  <si>
    <t>Alophoixus tephrogenys</t>
  </si>
  <si>
    <t>UMZC 27/Pyc/5/c/3</t>
  </si>
  <si>
    <t>UMZC 27/Pyc/5/b/4</t>
  </si>
  <si>
    <t>Museum label Criniger bres tephrogenys</t>
  </si>
  <si>
    <t>UMZC 27/Pyc/5/b/3</t>
  </si>
  <si>
    <t>gutturalis</t>
  </si>
  <si>
    <t>Museum label Criniger bres gutturalis</t>
  </si>
  <si>
    <t>UMZC 27/Pyc/5/b/2</t>
  </si>
  <si>
    <t>Grey-headed bristlebill</t>
  </si>
  <si>
    <t>Bleda canicapillus</t>
  </si>
  <si>
    <t>UMZC 27/Pyc/2/a/1</t>
  </si>
  <si>
    <t>Museum label Bleda canicapilla; bill held open, cannot measure depth</t>
  </si>
  <si>
    <t>Simple greenbul</t>
  </si>
  <si>
    <t>Chlorocichla simplex</t>
  </si>
  <si>
    <t>UMZC 27/Pyc/4/e/2</t>
  </si>
  <si>
    <t>Mampong Quarry, Accra Plains</t>
  </si>
  <si>
    <t>31.03.2026</t>
  </si>
  <si>
    <t>UMZC 27/Pyc/4/e/1</t>
  </si>
  <si>
    <t>1972</t>
  </si>
  <si>
    <t>1964</t>
  </si>
  <si>
    <t>Legon</t>
  </si>
  <si>
    <t>Yellow-bellied greenbul</t>
  </si>
  <si>
    <t>Chlorocichla flaviventris</t>
  </si>
  <si>
    <t>UMZC 27/Pyc/4/c/2</t>
  </si>
  <si>
    <t>1970</t>
  </si>
  <si>
    <t>Chizombo, Chipata district</t>
  </si>
  <si>
    <t>Zambia</t>
  </si>
  <si>
    <t>occidentalis</t>
  </si>
  <si>
    <t>Western bearded-greenbul</t>
  </si>
  <si>
    <t>Criniger barbatus</t>
  </si>
  <si>
    <t>UMZC 27/Pyc/5/a/2</t>
  </si>
  <si>
    <t>barbatus</t>
  </si>
  <si>
    <t>UMZC 27/Pyc/4/c/1</t>
  </si>
  <si>
    <t>1960</t>
  </si>
  <si>
    <t>Chilonga, Ratibi No. 2 Reserve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</si>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</sst>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0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24" fillId="0" borderId="0" xfId="46" applyFont="1"/>
    <xf numFmtId="0" fontId="35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96"/>
  <sheetViews>
    <sheetView tabSelected="1" zoomScale="69" zoomScaleNormal="150" workbookViewId="0">
      <pane ySplit="1" topLeftCell="A2" activePane="bottomLeft" state="frozen"/>
      <selection pane="bottomLeft" activeCell="O24" sqref="O24"/>
    </sheetView>
  </sheetViews>
  <sheetFormatPr baseColWidth="10" defaultColWidth="8.83203125" defaultRowHeight="15" x14ac:dyDescent="0.2"/>
  <cols>
    <col min="1" max="1" width="8.83203125" style="2"/>
    <col min="2" max="2" width="13" style="2" customWidth="1"/>
    <col min="3" max="3" width="14.1640625" style="2" customWidth="1"/>
    <col min="4" max="4" width="25.6640625" style="2" customWidth="1"/>
    <col min="5" max="5" width="12.1640625" style="2" customWidth="1"/>
    <col min="6" max="6" width="21" style="2" customWidth="1"/>
    <col min="7" max="7" width="14.6640625" bestFit="1" customWidth="1"/>
    <col min="8" max="8" width="17.1640625" style="2" customWidth="1"/>
    <col min="9" max="9" width="14" style="2" customWidth="1"/>
    <col min="10" max="10" width="6.33203125" style="2" bestFit="1" customWidth="1"/>
    <col min="11" max="12" width="8.83203125" style="2"/>
    <col min="13" max="13" width="13.1640625" style="5" customWidth="1"/>
    <col min="14" max="14" width="9.1640625" style="2" customWidth="1"/>
    <col min="15" max="15" width="8.83203125" style="2"/>
    <col min="16" max="16" width="16.6640625" style="4" bestFit="1" customWidth="1"/>
    <col min="17" max="17" width="16.1640625" style="4" bestFit="1" customWidth="1"/>
    <col min="18" max="18" width="11.83203125" style="4" bestFit="1" customWidth="1"/>
    <col min="19" max="19" width="11.6640625" style="4" bestFit="1" customWidth="1"/>
    <col min="20" max="20" width="12.83203125" style="4" bestFit="1" customWidth="1"/>
    <col min="21" max="21" width="14.6640625" style="4" bestFit="1" customWidth="1"/>
    <col min="22" max="22" width="13.1640625" style="4" bestFit="1" customWidth="1"/>
    <col min="23" max="23" width="13.1640625" style="4" customWidth="1"/>
    <col min="24" max="24" width="15.83203125" style="4" bestFit="1" customWidth="1"/>
    <col min="25" max="25" width="12.5" style="4" bestFit="1" customWidth="1"/>
    <col min="31" max="16384" width="8.83203125" style="2"/>
  </cols>
  <sheetData>
    <row r="1" spans="1:25" s="5" customFormat="1" x14ac:dyDescent="0.2">
      <c r="A1" s="6" t="s">
        <v>21</v>
      </c>
      <c r="B1" s="1" t="s">
        <v>0</v>
      </c>
      <c r="C1" s="1" t="s">
        <v>1</v>
      </c>
      <c r="D1" s="1" t="s">
        <v>2</v>
      </c>
      <c r="E1" s="3" t="s">
        <v>5</v>
      </c>
      <c r="F1" s="3" t="s">
        <v>22</v>
      </c>
      <c r="G1" s="6" t="s">
        <v>23</v>
      </c>
      <c r="H1" s="3" t="s">
        <v>7</v>
      </c>
      <c r="I1" s="3" t="s">
        <v>8</v>
      </c>
      <c r="J1" s="3" t="s">
        <v>6</v>
      </c>
      <c r="K1" s="3" t="s">
        <v>17</v>
      </c>
      <c r="L1" s="3" t="s">
        <v>18</v>
      </c>
      <c r="M1" s="3" t="s">
        <v>19</v>
      </c>
      <c r="N1" s="8" t="s">
        <v>31</v>
      </c>
      <c r="O1" s="6" t="s">
        <v>32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20</v>
      </c>
      <c r="U1" s="3" t="s">
        <v>13</v>
      </c>
      <c r="V1" s="3" t="s">
        <v>15</v>
      </c>
      <c r="W1" s="3" t="s">
        <v>27</v>
      </c>
      <c r="X1" s="3" t="s">
        <v>14</v>
      </c>
      <c r="Y1" s="3" t="s">
        <v>16</v>
      </c>
    </row>
    <row r="2" spans="1:25" x14ac:dyDescent="0.2">
      <c r="B2" t="s">
        <v>28</v>
      </c>
      <c r="C2" t="s">
        <v>47</v>
      </c>
      <c r="D2" s="2" t="s">
        <v>48</v>
      </c>
      <c r="E2" t="s">
        <v>29</v>
      </c>
      <c r="F2" t="s">
        <v>49</v>
      </c>
      <c r="G2" s="7" t="s">
        <v>50</v>
      </c>
      <c r="H2" t="s">
        <v>51</v>
      </c>
      <c r="I2" t="s">
        <v>52</v>
      </c>
      <c r="J2" t="s">
        <v>26</v>
      </c>
      <c r="K2" t="s">
        <v>53</v>
      </c>
      <c r="L2" s="2" t="s">
        <v>54</v>
      </c>
      <c r="M2" s="5" t="s">
        <v>37</v>
      </c>
      <c r="N2" t="s">
        <v>43</v>
      </c>
      <c r="O2" s="2" t="s">
        <v>44</v>
      </c>
      <c r="P2" s="4">
        <v>30.93</v>
      </c>
      <c r="Q2" s="4">
        <v>16.55</v>
      </c>
      <c r="R2" s="4">
        <v>5.25</v>
      </c>
      <c r="S2" s="4">
        <v>6.52</v>
      </c>
      <c r="T2" s="4">
        <v>13.29</v>
      </c>
      <c r="V2" s="4">
        <v>123.81</v>
      </c>
      <c r="W2" s="4">
        <v>97.78</v>
      </c>
      <c r="X2" s="4">
        <f t="shared" ref="X2:X31" si="0">V2-W2</f>
        <v>26.03</v>
      </c>
      <c r="Y2" s="4">
        <v>115</v>
      </c>
    </row>
    <row r="3" spans="1:25" x14ac:dyDescent="0.2">
      <c r="B3" t="s">
        <v>28</v>
      </c>
      <c r="C3" t="s">
        <v>47</v>
      </c>
      <c r="D3" s="2" t="s">
        <v>48</v>
      </c>
      <c r="E3" t="s">
        <v>29</v>
      </c>
      <c r="F3" t="s">
        <v>55</v>
      </c>
      <c r="G3" s="7" t="s">
        <v>50</v>
      </c>
      <c r="H3" t="s">
        <v>51</v>
      </c>
      <c r="I3" t="s">
        <v>52</v>
      </c>
      <c r="J3" t="s">
        <v>26</v>
      </c>
      <c r="K3" t="s">
        <v>53</v>
      </c>
      <c r="M3" s="5" t="s">
        <v>37</v>
      </c>
      <c r="N3" t="s">
        <v>43</v>
      </c>
      <c r="O3" s="2" t="s">
        <v>44</v>
      </c>
      <c r="P3" s="4">
        <v>30.79</v>
      </c>
      <c r="Q3" s="4">
        <v>16.93</v>
      </c>
      <c r="R3" s="4">
        <v>5.33</v>
      </c>
      <c r="S3" s="4">
        <v>6.6</v>
      </c>
      <c r="T3" s="4">
        <v>12.15</v>
      </c>
      <c r="U3" s="4">
        <v>21.81</v>
      </c>
      <c r="V3" s="4">
        <v>127.67</v>
      </c>
      <c r="W3" s="4">
        <v>97.9</v>
      </c>
      <c r="X3" s="4">
        <f t="shared" si="0"/>
        <v>29.769999999999996</v>
      </c>
      <c r="Y3" s="4">
        <v>116</v>
      </c>
    </row>
    <row r="4" spans="1:25" x14ac:dyDescent="0.2">
      <c r="B4" t="s">
        <v>28</v>
      </c>
      <c r="C4" t="s">
        <v>47</v>
      </c>
      <c r="D4" s="2" t="s">
        <v>48</v>
      </c>
      <c r="E4" t="s">
        <v>29</v>
      </c>
      <c r="F4" t="s">
        <v>58</v>
      </c>
      <c r="G4" s="7" t="s">
        <v>50</v>
      </c>
      <c r="H4" t="s">
        <v>51</v>
      </c>
      <c r="I4" t="s">
        <v>52</v>
      </c>
      <c r="J4" t="s">
        <v>26</v>
      </c>
      <c r="K4" t="s">
        <v>53</v>
      </c>
      <c r="M4" s="5" t="s">
        <v>37</v>
      </c>
      <c r="N4" t="s">
        <v>43</v>
      </c>
      <c r="O4" s="2" t="s">
        <v>44</v>
      </c>
      <c r="P4" s="4">
        <v>29.87</v>
      </c>
      <c r="Q4" s="4">
        <v>15.87</v>
      </c>
      <c r="R4" s="4">
        <v>5.29</v>
      </c>
      <c r="S4" s="4">
        <v>6.41</v>
      </c>
      <c r="T4" s="4">
        <v>10.58</v>
      </c>
      <c r="U4" s="4">
        <v>20.91</v>
      </c>
      <c r="V4" s="4">
        <v>127.83</v>
      </c>
      <c r="W4" s="4">
        <v>102.86</v>
      </c>
      <c r="X4" s="4">
        <f t="shared" si="0"/>
        <v>24.97</v>
      </c>
      <c r="Y4" s="4">
        <v>118</v>
      </c>
    </row>
    <row r="5" spans="1:25" x14ac:dyDescent="0.2">
      <c r="B5" t="s">
        <v>28</v>
      </c>
      <c r="C5" t="s">
        <v>47</v>
      </c>
      <c r="D5" s="2" t="s">
        <v>48</v>
      </c>
      <c r="E5" t="s">
        <v>29</v>
      </c>
      <c r="F5" t="s">
        <v>57</v>
      </c>
      <c r="G5" s="7" t="s">
        <v>50</v>
      </c>
      <c r="H5" t="s">
        <v>51</v>
      </c>
      <c r="I5" t="s">
        <v>52</v>
      </c>
      <c r="J5" t="s">
        <v>26</v>
      </c>
      <c r="K5" t="s">
        <v>53</v>
      </c>
      <c r="M5" s="5" t="s">
        <v>37</v>
      </c>
      <c r="N5" t="s">
        <v>43</v>
      </c>
      <c r="O5" s="2" t="s">
        <v>44</v>
      </c>
      <c r="P5" s="4">
        <v>28.88</v>
      </c>
      <c r="Q5" s="4">
        <v>15.2</v>
      </c>
      <c r="R5" s="4">
        <v>5.1100000000000003</v>
      </c>
      <c r="S5" s="4">
        <v>6.04</v>
      </c>
      <c r="T5" s="4">
        <v>10.76</v>
      </c>
      <c r="U5" s="4">
        <v>21.31</v>
      </c>
      <c r="V5" s="4">
        <v>119.7</v>
      </c>
      <c r="W5" s="4">
        <v>94.59</v>
      </c>
      <c r="X5" s="4">
        <f t="shared" si="0"/>
        <v>25.11</v>
      </c>
      <c r="Y5" s="4">
        <v>116</v>
      </c>
    </row>
    <row r="6" spans="1:25" x14ac:dyDescent="0.2">
      <c r="B6" t="s">
        <v>28</v>
      </c>
      <c r="C6" t="s">
        <v>47</v>
      </c>
      <c r="D6" s="2" t="s">
        <v>48</v>
      </c>
      <c r="E6" t="s">
        <v>29</v>
      </c>
      <c r="F6" t="s">
        <v>60</v>
      </c>
      <c r="G6" s="7" t="s">
        <v>61</v>
      </c>
      <c r="H6" t="s">
        <v>26</v>
      </c>
      <c r="I6" t="s">
        <v>52</v>
      </c>
      <c r="J6" t="s">
        <v>25</v>
      </c>
      <c r="K6" t="s">
        <v>53</v>
      </c>
      <c r="M6" s="5" t="s">
        <v>37</v>
      </c>
      <c r="N6" t="s">
        <v>43</v>
      </c>
      <c r="O6" s="2" t="s">
        <v>44</v>
      </c>
      <c r="P6" s="4">
        <v>31.7</v>
      </c>
      <c r="Q6" s="4">
        <v>16.63</v>
      </c>
      <c r="R6" s="4">
        <v>5.72</v>
      </c>
      <c r="S6" s="4">
        <v>6.63</v>
      </c>
      <c r="T6" s="4">
        <v>14.71</v>
      </c>
      <c r="U6" s="4">
        <v>22.29</v>
      </c>
      <c r="V6" s="4">
        <v>131.44</v>
      </c>
      <c r="W6" s="4">
        <v>105.12</v>
      </c>
      <c r="X6" s="4">
        <f t="shared" si="0"/>
        <v>26.319999999999993</v>
      </c>
      <c r="Y6" s="4">
        <v>120</v>
      </c>
    </row>
    <row r="7" spans="1:25" x14ac:dyDescent="0.2">
      <c r="B7" t="s">
        <v>28</v>
      </c>
      <c r="C7" t="s">
        <v>47</v>
      </c>
      <c r="D7" s="2" t="s">
        <v>48</v>
      </c>
      <c r="E7" t="s">
        <v>29</v>
      </c>
      <c r="F7" t="s">
        <v>56</v>
      </c>
      <c r="G7" s="7" t="s">
        <v>59</v>
      </c>
      <c r="H7" t="s">
        <v>26</v>
      </c>
      <c r="I7" t="s">
        <v>52</v>
      </c>
      <c r="J7" t="s">
        <v>24</v>
      </c>
      <c r="K7" t="s">
        <v>53</v>
      </c>
      <c r="M7" s="5" t="s">
        <v>37</v>
      </c>
      <c r="N7" t="s">
        <v>43</v>
      </c>
      <c r="O7" s="2" t="s">
        <v>44</v>
      </c>
      <c r="P7" s="4">
        <v>27.63</v>
      </c>
      <c r="Q7" s="4">
        <v>14.02</v>
      </c>
      <c r="R7" s="4">
        <v>5.0999999999999996</v>
      </c>
      <c r="S7" s="4">
        <v>6.53</v>
      </c>
      <c r="T7" s="4">
        <v>12.78</v>
      </c>
      <c r="U7" s="4">
        <v>22.75</v>
      </c>
      <c r="V7" s="4">
        <v>120.42</v>
      </c>
      <c r="W7" s="4">
        <v>93.95</v>
      </c>
      <c r="X7" s="4">
        <f t="shared" si="0"/>
        <v>26.47</v>
      </c>
      <c r="Y7" s="4">
        <v>111</v>
      </c>
    </row>
    <row r="8" spans="1:25" x14ac:dyDescent="0.2">
      <c r="B8" t="s">
        <v>28</v>
      </c>
      <c r="C8" t="s">
        <v>35</v>
      </c>
      <c r="D8" s="2" t="s">
        <v>36</v>
      </c>
      <c r="E8" t="s">
        <v>29</v>
      </c>
      <c r="F8" t="s">
        <v>80</v>
      </c>
      <c r="G8" s="7" t="s">
        <v>41</v>
      </c>
      <c r="H8" t="s">
        <v>65</v>
      </c>
      <c r="I8" s="2" t="s">
        <v>42</v>
      </c>
      <c r="J8" t="s">
        <v>25</v>
      </c>
      <c r="L8" t="s">
        <v>81</v>
      </c>
      <c r="M8" s="5" t="s">
        <v>37</v>
      </c>
      <c r="N8" t="s">
        <v>43</v>
      </c>
      <c r="O8" t="s">
        <v>68</v>
      </c>
      <c r="P8" s="4">
        <v>24.74</v>
      </c>
      <c r="Q8" s="4">
        <v>14.69</v>
      </c>
      <c r="R8" s="4">
        <v>5.29</v>
      </c>
      <c r="S8" s="4">
        <v>6.02</v>
      </c>
      <c r="T8" s="4">
        <v>10.49</v>
      </c>
      <c r="U8" s="4">
        <v>17.66</v>
      </c>
      <c r="V8" s="4">
        <v>99.34</v>
      </c>
      <c r="W8" s="4">
        <v>81.25</v>
      </c>
      <c r="X8" s="4">
        <f t="shared" si="0"/>
        <v>18.090000000000003</v>
      </c>
      <c r="Y8" s="4">
        <v>87</v>
      </c>
    </row>
    <row r="9" spans="1:25" x14ac:dyDescent="0.2">
      <c r="B9" t="s">
        <v>28</v>
      </c>
      <c r="C9" t="s">
        <v>35</v>
      </c>
      <c r="D9" s="2" t="s">
        <v>36</v>
      </c>
      <c r="E9" t="s">
        <v>29</v>
      </c>
      <c r="F9" t="s">
        <v>82</v>
      </c>
      <c r="G9" s="7" t="s">
        <v>41</v>
      </c>
      <c r="H9" t="s">
        <v>65</v>
      </c>
      <c r="I9" s="2" t="s">
        <v>42</v>
      </c>
      <c r="J9" t="s">
        <v>24</v>
      </c>
      <c r="L9" t="s">
        <v>81</v>
      </c>
      <c r="M9" s="5" t="s">
        <v>37</v>
      </c>
      <c r="N9" t="s">
        <v>43</v>
      </c>
      <c r="O9" t="s">
        <v>68</v>
      </c>
      <c r="P9" s="4">
        <v>26.35</v>
      </c>
      <c r="Q9" s="4">
        <v>16.420000000000002</v>
      </c>
      <c r="R9" s="4">
        <v>6.21</v>
      </c>
      <c r="S9" s="4">
        <v>6.86</v>
      </c>
      <c r="T9" s="4">
        <v>13.43</v>
      </c>
      <c r="U9" s="4">
        <v>16.41</v>
      </c>
      <c r="V9" s="4">
        <v>104.45</v>
      </c>
      <c r="W9" s="4">
        <v>85.39</v>
      </c>
      <c r="X9" s="4">
        <f t="shared" si="0"/>
        <v>19.060000000000002</v>
      </c>
      <c r="Y9" s="4">
        <v>92</v>
      </c>
    </row>
    <row r="10" spans="1:25" x14ac:dyDescent="0.2">
      <c r="B10" s="2" t="s">
        <v>28</v>
      </c>
      <c r="C10" s="2" t="s">
        <v>38</v>
      </c>
      <c r="D10" t="s">
        <v>39</v>
      </c>
      <c r="E10" t="s">
        <v>29</v>
      </c>
      <c r="F10" s="2" t="s">
        <v>62</v>
      </c>
      <c r="G10" s="7" t="s">
        <v>63</v>
      </c>
      <c r="H10" t="s">
        <v>64</v>
      </c>
      <c r="I10" t="s">
        <v>42</v>
      </c>
      <c r="J10" t="s">
        <v>25</v>
      </c>
      <c r="K10" s="2" t="s">
        <v>67</v>
      </c>
      <c r="L10" s="2" t="s">
        <v>66</v>
      </c>
      <c r="M10" s="5" t="s">
        <v>37</v>
      </c>
      <c r="N10" t="s">
        <v>43</v>
      </c>
      <c r="O10" t="s">
        <v>68</v>
      </c>
      <c r="P10" s="4">
        <v>21.5</v>
      </c>
      <c r="Q10" s="4">
        <v>13.3</v>
      </c>
      <c r="R10" s="4">
        <v>4.4800000000000004</v>
      </c>
      <c r="S10" s="4">
        <v>6.62</v>
      </c>
      <c r="T10" s="4">
        <v>10.6</v>
      </c>
      <c r="U10" s="4">
        <v>20.5</v>
      </c>
      <c r="V10" s="4">
        <v>116.87</v>
      </c>
      <c r="W10" s="4">
        <v>98.69</v>
      </c>
      <c r="X10" s="4">
        <f t="shared" si="0"/>
        <v>18.180000000000007</v>
      </c>
      <c r="Y10" s="4">
        <v>104</v>
      </c>
    </row>
    <row r="11" spans="1:25" x14ac:dyDescent="0.2">
      <c r="B11" s="2" t="s">
        <v>28</v>
      </c>
      <c r="C11" s="2" t="s">
        <v>38</v>
      </c>
      <c r="D11" t="s">
        <v>39</v>
      </c>
      <c r="E11" t="s">
        <v>29</v>
      </c>
      <c r="F11" s="2" t="s">
        <v>70</v>
      </c>
      <c r="G11" s="7" t="s">
        <v>63</v>
      </c>
      <c r="H11" t="s">
        <v>64</v>
      </c>
      <c r="I11" t="s">
        <v>42</v>
      </c>
      <c r="J11" t="s">
        <v>25</v>
      </c>
      <c r="K11" s="2" t="s">
        <v>67</v>
      </c>
      <c r="L11" s="2" t="s">
        <v>71</v>
      </c>
      <c r="M11" s="5" t="s">
        <v>37</v>
      </c>
      <c r="N11" t="s">
        <v>43</v>
      </c>
      <c r="O11" t="s">
        <v>68</v>
      </c>
      <c r="P11" s="4">
        <v>20.09</v>
      </c>
      <c r="Q11" s="4">
        <v>11.78</v>
      </c>
      <c r="R11" s="4">
        <v>5.13</v>
      </c>
      <c r="S11" s="4">
        <v>6.03</v>
      </c>
      <c r="T11" s="4">
        <v>11.47</v>
      </c>
      <c r="U11" s="4">
        <v>19.760000000000002</v>
      </c>
      <c r="V11" s="4">
        <v>103.38</v>
      </c>
      <c r="W11" s="4">
        <v>85.86</v>
      </c>
      <c r="X11" s="4">
        <f t="shared" si="0"/>
        <v>17.519999999999996</v>
      </c>
      <c r="Y11" s="4">
        <v>95</v>
      </c>
    </row>
    <row r="12" spans="1:25" x14ac:dyDescent="0.2">
      <c r="B12" s="2" t="s">
        <v>28</v>
      </c>
      <c r="C12" s="2" t="s">
        <v>38</v>
      </c>
      <c r="D12" t="s">
        <v>39</v>
      </c>
      <c r="E12" t="s">
        <v>29</v>
      </c>
      <c r="F12" s="2" t="s">
        <v>72</v>
      </c>
      <c r="G12" s="7" t="s">
        <v>63</v>
      </c>
      <c r="H12" t="s">
        <v>64</v>
      </c>
      <c r="I12" t="s">
        <v>42</v>
      </c>
      <c r="J12" t="s">
        <v>24</v>
      </c>
      <c r="K12" s="2" t="s">
        <v>67</v>
      </c>
      <c r="L12" s="2" t="s">
        <v>71</v>
      </c>
      <c r="M12" s="5" t="s">
        <v>37</v>
      </c>
      <c r="N12" t="s">
        <v>43</v>
      </c>
      <c r="O12" t="s">
        <v>68</v>
      </c>
      <c r="P12" s="4">
        <v>19.73</v>
      </c>
      <c r="Q12" s="4">
        <v>10.99</v>
      </c>
      <c r="R12" s="4">
        <v>5.46</v>
      </c>
      <c r="S12" s="4">
        <v>5.51</v>
      </c>
      <c r="T12" s="4">
        <v>11.02</v>
      </c>
      <c r="U12" s="4">
        <v>20.69</v>
      </c>
      <c r="V12" s="4">
        <v>103.75</v>
      </c>
      <c r="W12" s="4">
        <v>88.86</v>
      </c>
      <c r="X12" s="4">
        <f t="shared" si="0"/>
        <v>14.89</v>
      </c>
      <c r="Y12" s="4">
        <v>104</v>
      </c>
    </row>
    <row r="13" spans="1:25" x14ac:dyDescent="0.2">
      <c r="B13" s="2" t="s">
        <v>28</v>
      </c>
      <c r="C13" s="2" t="s">
        <v>38</v>
      </c>
      <c r="D13" t="s">
        <v>39</v>
      </c>
      <c r="E13" t="s">
        <v>29</v>
      </c>
      <c r="F13" s="2" t="s">
        <v>73</v>
      </c>
      <c r="G13" s="7" t="s">
        <v>74</v>
      </c>
      <c r="H13" t="s">
        <v>65</v>
      </c>
      <c r="I13" t="s">
        <v>42</v>
      </c>
      <c r="J13" t="s">
        <v>24</v>
      </c>
      <c r="K13" t="s">
        <v>45</v>
      </c>
      <c r="L13" s="2" t="s">
        <v>75</v>
      </c>
      <c r="M13" s="5" t="s">
        <v>37</v>
      </c>
      <c r="N13" t="s">
        <v>43</v>
      </c>
      <c r="O13" t="s">
        <v>68</v>
      </c>
      <c r="R13" s="4">
        <v>5.08</v>
      </c>
      <c r="S13" s="4">
        <v>6.5</v>
      </c>
      <c r="T13" s="4">
        <v>10.75</v>
      </c>
      <c r="U13" s="4">
        <v>20.89</v>
      </c>
      <c r="V13" s="4">
        <v>115.57</v>
      </c>
      <c r="W13" s="4">
        <v>92.36</v>
      </c>
      <c r="X13" s="4">
        <f t="shared" si="0"/>
        <v>23.209999999999994</v>
      </c>
      <c r="Y13" s="4">
        <v>107</v>
      </c>
    </row>
    <row r="14" spans="1:25" x14ac:dyDescent="0.2">
      <c r="B14" s="2" t="s">
        <v>28</v>
      </c>
      <c r="C14" s="2" t="s">
        <v>38</v>
      </c>
      <c r="D14" t="s">
        <v>39</v>
      </c>
      <c r="E14" t="s">
        <v>29</v>
      </c>
      <c r="F14" s="2" t="s">
        <v>79</v>
      </c>
      <c r="G14" s="7" t="s">
        <v>74</v>
      </c>
      <c r="H14" t="s">
        <v>65</v>
      </c>
      <c r="I14" t="s">
        <v>42</v>
      </c>
      <c r="J14" t="s">
        <v>25</v>
      </c>
      <c r="K14" t="s">
        <v>45</v>
      </c>
      <c r="L14" s="2" t="s">
        <v>75</v>
      </c>
      <c r="M14" s="5" t="s">
        <v>37</v>
      </c>
      <c r="N14" t="s">
        <v>43</v>
      </c>
      <c r="O14" t="s">
        <v>68</v>
      </c>
      <c r="R14" s="4">
        <v>4.7</v>
      </c>
      <c r="S14" s="4">
        <v>6.62</v>
      </c>
      <c r="T14" s="4">
        <v>11.58</v>
      </c>
      <c r="U14" s="4">
        <v>20.8</v>
      </c>
      <c r="V14" s="4">
        <v>114.93</v>
      </c>
      <c r="W14" s="4">
        <v>94.26</v>
      </c>
      <c r="X14" s="4">
        <f t="shared" si="0"/>
        <v>20.67</v>
      </c>
      <c r="Y14" s="4">
        <v>108</v>
      </c>
    </row>
    <row r="15" spans="1:25" x14ac:dyDescent="0.2">
      <c r="B15" s="2" t="s">
        <v>28</v>
      </c>
      <c r="C15" s="2" t="s">
        <v>38</v>
      </c>
      <c r="D15" t="s">
        <v>39</v>
      </c>
      <c r="E15" t="s">
        <v>29</v>
      </c>
      <c r="F15" s="2" t="s">
        <v>40</v>
      </c>
      <c r="G15" s="7" t="s">
        <v>41</v>
      </c>
      <c r="H15" t="s">
        <v>65</v>
      </c>
      <c r="I15" t="s">
        <v>42</v>
      </c>
      <c r="J15" t="s">
        <v>25</v>
      </c>
      <c r="K15" t="s">
        <v>45</v>
      </c>
      <c r="L15" s="2" t="s">
        <v>46</v>
      </c>
      <c r="M15" s="5" t="s">
        <v>37</v>
      </c>
      <c r="N15" t="s">
        <v>43</v>
      </c>
      <c r="O15" s="2" t="s">
        <v>68</v>
      </c>
      <c r="P15" s="4">
        <v>21.53</v>
      </c>
      <c r="Q15" s="4">
        <v>13.02</v>
      </c>
      <c r="R15" s="4">
        <v>5.51</v>
      </c>
      <c r="S15" s="4">
        <v>6.82</v>
      </c>
      <c r="T15" s="4">
        <v>10.68</v>
      </c>
      <c r="U15" s="4">
        <v>20.53</v>
      </c>
      <c r="V15" s="4">
        <v>113.05</v>
      </c>
      <c r="W15" s="4">
        <v>93.5</v>
      </c>
      <c r="X15" s="4">
        <f t="shared" si="0"/>
        <v>19.549999999999997</v>
      </c>
      <c r="Y15" s="4">
        <v>98</v>
      </c>
    </row>
    <row r="16" spans="1:25" x14ac:dyDescent="0.2">
      <c r="B16" s="2" t="s">
        <v>28</v>
      </c>
      <c r="C16" s="2" t="s">
        <v>38</v>
      </c>
      <c r="D16" t="s">
        <v>39</v>
      </c>
      <c r="E16" t="s">
        <v>29</v>
      </c>
      <c r="F16" s="2" t="s">
        <v>69</v>
      </c>
      <c r="G16" s="7" t="s">
        <v>41</v>
      </c>
      <c r="H16" t="s">
        <v>65</v>
      </c>
      <c r="I16" t="s">
        <v>42</v>
      </c>
      <c r="J16" t="s">
        <v>24</v>
      </c>
      <c r="K16" t="s">
        <v>45</v>
      </c>
      <c r="L16" s="2" t="s">
        <v>46</v>
      </c>
      <c r="M16" s="5" t="s">
        <v>37</v>
      </c>
      <c r="N16" t="s">
        <v>43</v>
      </c>
      <c r="O16" t="s">
        <v>68</v>
      </c>
      <c r="P16" s="4">
        <v>21.46</v>
      </c>
      <c r="Q16" s="4">
        <v>11.65</v>
      </c>
      <c r="R16" s="4">
        <v>5.45</v>
      </c>
      <c r="S16" s="4">
        <v>6.61</v>
      </c>
      <c r="T16" s="4">
        <v>10.88</v>
      </c>
      <c r="U16" s="4">
        <v>20.54</v>
      </c>
      <c r="V16" s="4">
        <v>106.19</v>
      </c>
      <c r="W16" s="4">
        <v>89.43</v>
      </c>
      <c r="X16" s="4">
        <f t="shared" si="0"/>
        <v>16.759999999999991</v>
      </c>
      <c r="Y16" s="4">
        <v>96</v>
      </c>
    </row>
    <row r="17" spans="2:25" x14ac:dyDescent="0.2">
      <c r="B17" s="2" t="s">
        <v>28</v>
      </c>
      <c r="C17" s="2" t="s">
        <v>38</v>
      </c>
      <c r="D17" t="s">
        <v>39</v>
      </c>
      <c r="E17" t="s">
        <v>29</v>
      </c>
      <c r="F17" s="2" t="s">
        <v>76</v>
      </c>
      <c r="G17" s="7" t="s">
        <v>77</v>
      </c>
      <c r="H17" t="s">
        <v>78</v>
      </c>
      <c r="I17" t="s">
        <v>42</v>
      </c>
      <c r="J17" t="s">
        <v>25</v>
      </c>
      <c r="K17" t="s">
        <v>45</v>
      </c>
      <c r="L17" s="2" t="s">
        <v>75</v>
      </c>
      <c r="M17" s="5" t="s">
        <v>37</v>
      </c>
      <c r="N17" t="s">
        <v>43</v>
      </c>
      <c r="O17" t="s">
        <v>68</v>
      </c>
      <c r="R17" s="4">
        <v>5.03</v>
      </c>
      <c r="S17" s="4">
        <v>6.84</v>
      </c>
      <c r="T17" s="4">
        <v>11.03</v>
      </c>
      <c r="U17" s="4">
        <v>19.03</v>
      </c>
      <c r="V17" s="4">
        <v>116.21</v>
      </c>
      <c r="W17" s="4">
        <v>94.75</v>
      </c>
      <c r="X17" s="4">
        <f t="shared" si="0"/>
        <v>21.459999999999994</v>
      </c>
      <c r="Y17" s="4">
        <v>105</v>
      </c>
    </row>
    <row r="18" spans="2:25" x14ac:dyDescent="0.2">
      <c r="B18" t="s">
        <v>28</v>
      </c>
      <c r="C18" t="s">
        <v>83</v>
      </c>
      <c r="D18" t="s">
        <v>84</v>
      </c>
      <c r="E18" t="s">
        <v>29</v>
      </c>
      <c r="F18" t="s">
        <v>91</v>
      </c>
      <c r="G18" s="7" t="s">
        <v>85</v>
      </c>
      <c r="H18" t="s">
        <v>86</v>
      </c>
      <c r="I18" t="s">
        <v>42</v>
      </c>
      <c r="J18" t="s">
        <v>26</v>
      </c>
      <c r="L18" t="s">
        <v>88</v>
      </c>
      <c r="M18" s="5" t="s">
        <v>37</v>
      </c>
      <c r="N18" t="s">
        <v>43</v>
      </c>
      <c r="O18" t="s">
        <v>87</v>
      </c>
      <c r="P18" s="4">
        <v>17.34</v>
      </c>
      <c r="Q18" s="4">
        <v>10.99</v>
      </c>
      <c r="R18" s="4">
        <v>4.08</v>
      </c>
      <c r="S18" s="4">
        <v>4.5999999999999996</v>
      </c>
      <c r="T18" s="4">
        <v>8.06</v>
      </c>
      <c r="U18" s="4">
        <v>15.49</v>
      </c>
      <c r="V18" s="4">
        <v>76.61</v>
      </c>
      <c r="W18" s="4">
        <v>67.040000000000006</v>
      </c>
      <c r="X18" s="4">
        <f t="shared" si="0"/>
        <v>9.5699999999999932</v>
      </c>
    </row>
    <row r="19" spans="2:25" x14ac:dyDescent="0.2">
      <c r="B19" t="s">
        <v>28</v>
      </c>
      <c r="C19" t="s">
        <v>90</v>
      </c>
      <c r="D19" s="9" t="s">
        <v>89</v>
      </c>
      <c r="E19" t="s">
        <v>29</v>
      </c>
      <c r="F19" s="2" t="s">
        <v>92</v>
      </c>
      <c r="G19" s="7" t="s">
        <v>26</v>
      </c>
      <c r="H19" t="s">
        <v>93</v>
      </c>
      <c r="I19" t="s">
        <v>42</v>
      </c>
      <c r="J19" t="s">
        <v>25</v>
      </c>
      <c r="L19" t="s">
        <v>94</v>
      </c>
      <c r="M19" s="5" t="s">
        <v>37</v>
      </c>
      <c r="N19" t="s">
        <v>43</v>
      </c>
      <c r="O19" t="s">
        <v>87</v>
      </c>
      <c r="P19" s="4">
        <v>18.600000000000001</v>
      </c>
      <c r="Q19" s="4">
        <v>11.77</v>
      </c>
      <c r="R19" s="4">
        <v>5.56</v>
      </c>
      <c r="S19" s="4">
        <v>5.79</v>
      </c>
      <c r="T19" s="4">
        <v>9.52</v>
      </c>
      <c r="U19" s="4">
        <v>16.3</v>
      </c>
      <c r="V19" s="4">
        <v>84.78</v>
      </c>
      <c r="W19" s="4">
        <v>71.06</v>
      </c>
      <c r="X19" s="4">
        <f t="shared" si="0"/>
        <v>13.719999999999999</v>
      </c>
      <c r="Y19" s="4">
        <v>73</v>
      </c>
    </row>
    <row r="20" spans="2:25" x14ac:dyDescent="0.2">
      <c r="B20" t="s">
        <v>28</v>
      </c>
      <c r="C20" t="s">
        <v>99</v>
      </c>
      <c r="D20" t="s">
        <v>98</v>
      </c>
      <c r="E20" t="s">
        <v>29</v>
      </c>
      <c r="F20" t="s">
        <v>107</v>
      </c>
      <c r="G20" s="7" t="s">
        <v>102</v>
      </c>
      <c r="H20" t="s">
        <v>26</v>
      </c>
      <c r="I20" t="s">
        <v>103</v>
      </c>
      <c r="J20" t="s">
        <v>24</v>
      </c>
      <c r="K20" t="s">
        <v>104</v>
      </c>
      <c r="L20"/>
      <c r="M20" s="5" t="s">
        <v>37</v>
      </c>
      <c r="N20" t="s">
        <v>43</v>
      </c>
      <c r="O20" t="s">
        <v>87</v>
      </c>
      <c r="P20" s="4">
        <v>22.51</v>
      </c>
      <c r="Q20" s="4">
        <v>14.11</v>
      </c>
      <c r="R20" s="4">
        <v>6.16</v>
      </c>
      <c r="S20" s="4">
        <v>6.44</v>
      </c>
      <c r="T20" s="4">
        <v>12.06</v>
      </c>
      <c r="U20" s="4">
        <v>22.52</v>
      </c>
      <c r="V20" s="4">
        <v>88.7</v>
      </c>
      <c r="W20" s="4">
        <v>80.58</v>
      </c>
      <c r="X20" s="4">
        <f t="shared" si="0"/>
        <v>8.1200000000000045</v>
      </c>
      <c r="Y20" s="4">
        <v>84</v>
      </c>
    </row>
    <row r="21" spans="2:25" x14ac:dyDescent="0.2">
      <c r="B21" t="s">
        <v>28</v>
      </c>
      <c r="C21" t="s">
        <v>114</v>
      </c>
      <c r="D21" t="s">
        <v>115</v>
      </c>
      <c r="E21" t="s">
        <v>29</v>
      </c>
      <c r="F21" t="s">
        <v>116</v>
      </c>
      <c r="G21" s="7" t="s">
        <v>102</v>
      </c>
      <c r="H21" t="s">
        <v>26</v>
      </c>
      <c r="I21" t="s">
        <v>103</v>
      </c>
      <c r="J21" t="s">
        <v>25</v>
      </c>
      <c r="L21" t="s">
        <v>117</v>
      </c>
      <c r="M21" s="5" t="s">
        <v>37</v>
      </c>
      <c r="N21" t="s">
        <v>43</v>
      </c>
      <c r="O21" t="s">
        <v>87</v>
      </c>
      <c r="P21" s="4">
        <v>23.2</v>
      </c>
      <c r="Q21" s="4">
        <v>14.17</v>
      </c>
      <c r="R21" s="4">
        <v>4.8</v>
      </c>
      <c r="T21" s="4">
        <v>11.66</v>
      </c>
      <c r="U21" s="4">
        <v>27.12</v>
      </c>
      <c r="V21" s="4">
        <v>101.26</v>
      </c>
      <c r="W21" s="4">
        <v>88.94</v>
      </c>
      <c r="X21" s="4">
        <f t="shared" si="0"/>
        <v>12.320000000000007</v>
      </c>
      <c r="Y21" s="4">
        <v>96</v>
      </c>
    </row>
    <row r="22" spans="2:25" x14ac:dyDescent="0.2">
      <c r="B22" t="s">
        <v>28</v>
      </c>
      <c r="C22" t="s">
        <v>105</v>
      </c>
      <c r="D22" t="s">
        <v>106</v>
      </c>
      <c r="E22" t="s">
        <v>29</v>
      </c>
      <c r="F22" t="s">
        <v>108</v>
      </c>
      <c r="G22" s="7" t="s">
        <v>85</v>
      </c>
      <c r="H22" t="s">
        <v>26</v>
      </c>
      <c r="I22" t="s">
        <v>42</v>
      </c>
      <c r="J22" t="s">
        <v>26</v>
      </c>
      <c r="L22" t="s">
        <v>109</v>
      </c>
      <c r="M22" s="5" t="s">
        <v>37</v>
      </c>
      <c r="N22" t="s">
        <v>43</v>
      </c>
      <c r="O22" t="s">
        <v>87</v>
      </c>
      <c r="P22" s="4">
        <v>20.190000000000001</v>
      </c>
      <c r="Q22" s="4">
        <v>12.81</v>
      </c>
      <c r="R22" s="4">
        <v>5.41</v>
      </c>
      <c r="S22" s="4">
        <v>6.95</v>
      </c>
      <c r="T22" s="4">
        <v>10.56</v>
      </c>
      <c r="U22" s="4">
        <v>19.239999999999998</v>
      </c>
      <c r="V22" s="4">
        <v>93.26</v>
      </c>
      <c r="W22" s="4">
        <v>78.33</v>
      </c>
      <c r="X22" s="4">
        <f t="shared" si="0"/>
        <v>14.930000000000007</v>
      </c>
      <c r="Y22" s="4">
        <v>84</v>
      </c>
    </row>
    <row r="23" spans="2:25" x14ac:dyDescent="0.2">
      <c r="B23" t="s">
        <v>28</v>
      </c>
      <c r="C23" t="s">
        <v>105</v>
      </c>
      <c r="D23" t="s">
        <v>106</v>
      </c>
      <c r="E23" t="s">
        <v>29</v>
      </c>
      <c r="F23" t="s">
        <v>110</v>
      </c>
      <c r="G23" s="7" t="s">
        <v>26</v>
      </c>
      <c r="H23" t="s">
        <v>93</v>
      </c>
      <c r="I23" t="s">
        <v>42</v>
      </c>
      <c r="J23" t="s">
        <v>25</v>
      </c>
      <c r="K23" t="s">
        <v>111</v>
      </c>
      <c r="L23" t="s">
        <v>112</v>
      </c>
      <c r="M23" s="5" t="s">
        <v>37</v>
      </c>
      <c r="N23" t="s">
        <v>43</v>
      </c>
      <c r="O23" t="s">
        <v>87</v>
      </c>
      <c r="P23" s="4">
        <v>24.48</v>
      </c>
      <c r="Q23" s="4">
        <v>13.81</v>
      </c>
      <c r="R23" s="4">
        <v>5.18</v>
      </c>
      <c r="S23" s="4">
        <v>7.25</v>
      </c>
      <c r="T23" s="4">
        <v>11.93</v>
      </c>
      <c r="U23" s="4">
        <v>21.4</v>
      </c>
      <c r="V23" s="4">
        <v>106.62</v>
      </c>
      <c r="W23" s="4">
        <v>89.59</v>
      </c>
      <c r="X23" s="4">
        <f t="shared" si="0"/>
        <v>17.03</v>
      </c>
      <c r="Y23" s="4">
        <v>92</v>
      </c>
    </row>
    <row r="24" spans="2:25" x14ac:dyDescent="0.2">
      <c r="B24" t="s">
        <v>28</v>
      </c>
      <c r="C24" t="s">
        <v>105</v>
      </c>
      <c r="D24" t="s">
        <v>106</v>
      </c>
      <c r="E24" t="s">
        <v>29</v>
      </c>
      <c r="F24" t="s">
        <v>113</v>
      </c>
      <c r="G24" s="7" t="s">
        <v>77</v>
      </c>
      <c r="H24" t="s">
        <v>78</v>
      </c>
      <c r="I24" t="s">
        <v>42</v>
      </c>
      <c r="J24" t="s">
        <v>25</v>
      </c>
      <c r="K24" t="s">
        <v>111</v>
      </c>
      <c r="L24" t="s">
        <v>112</v>
      </c>
      <c r="M24" s="5" t="s">
        <v>37</v>
      </c>
      <c r="N24" t="s">
        <v>43</v>
      </c>
      <c r="O24" t="s">
        <v>87</v>
      </c>
      <c r="P24" s="4">
        <v>24</v>
      </c>
      <c r="Q24" s="4">
        <v>15.07</v>
      </c>
      <c r="R24" s="4">
        <v>6.03</v>
      </c>
      <c r="S24" s="4">
        <v>7.66</v>
      </c>
      <c r="T24" s="4">
        <v>12.2</v>
      </c>
      <c r="U24" s="4">
        <v>20.92</v>
      </c>
      <c r="V24" s="4">
        <v>106.99</v>
      </c>
      <c r="W24" s="4">
        <v>86.19</v>
      </c>
      <c r="X24" s="4">
        <f t="shared" si="0"/>
        <v>20.799999999999997</v>
      </c>
      <c r="Y24" s="4">
        <v>87</v>
      </c>
    </row>
    <row r="25" spans="2:25" x14ac:dyDescent="0.2">
      <c r="B25" t="s">
        <v>28</v>
      </c>
      <c r="C25" t="s">
        <v>3</v>
      </c>
      <c r="D25" t="s">
        <v>4</v>
      </c>
      <c r="E25" t="s">
        <v>29</v>
      </c>
      <c r="F25" t="s">
        <v>100</v>
      </c>
      <c r="G25" s="7" t="s">
        <v>63</v>
      </c>
      <c r="H25" t="s">
        <v>97</v>
      </c>
      <c r="I25" t="s">
        <v>30</v>
      </c>
      <c r="J25" t="s">
        <v>26</v>
      </c>
      <c r="K25" t="s">
        <v>33</v>
      </c>
      <c r="L25" t="s">
        <v>34</v>
      </c>
      <c r="M25" s="5" t="s">
        <v>37</v>
      </c>
      <c r="N25" t="s">
        <v>43</v>
      </c>
      <c r="O25" t="s">
        <v>87</v>
      </c>
      <c r="P25" s="4">
        <v>21.6</v>
      </c>
      <c r="Q25" s="4">
        <v>12.85</v>
      </c>
      <c r="R25" s="4">
        <v>5.6</v>
      </c>
      <c r="S25" s="4">
        <v>7.49</v>
      </c>
      <c r="T25" s="4">
        <v>11.51</v>
      </c>
      <c r="U25" s="4">
        <v>22.17</v>
      </c>
      <c r="V25" s="4">
        <v>101.54</v>
      </c>
      <c r="W25" s="4">
        <v>88.28</v>
      </c>
      <c r="X25" s="4">
        <f t="shared" si="0"/>
        <v>13.260000000000005</v>
      </c>
      <c r="Y25" s="4">
        <v>94</v>
      </c>
    </row>
    <row r="26" spans="2:25" x14ac:dyDescent="0.2">
      <c r="B26" t="s">
        <v>28</v>
      </c>
      <c r="C26" t="s">
        <v>3</v>
      </c>
      <c r="D26" t="s">
        <v>4</v>
      </c>
      <c r="E26" t="s">
        <v>29</v>
      </c>
      <c r="F26" t="s">
        <v>101</v>
      </c>
      <c r="G26" s="7" t="s">
        <v>95</v>
      </c>
      <c r="H26" t="s">
        <v>96</v>
      </c>
      <c r="I26" t="s">
        <v>30</v>
      </c>
      <c r="J26" t="s">
        <v>24</v>
      </c>
      <c r="K26" t="s">
        <v>33</v>
      </c>
      <c r="L26" t="s">
        <v>34</v>
      </c>
      <c r="M26" s="5" t="s">
        <v>37</v>
      </c>
      <c r="N26" t="s">
        <v>43</v>
      </c>
      <c r="O26" t="s">
        <v>87</v>
      </c>
      <c r="P26" s="4">
        <v>20.41</v>
      </c>
      <c r="Q26" s="4">
        <v>11.72</v>
      </c>
      <c r="R26" s="4">
        <v>5.46</v>
      </c>
      <c r="S26" s="4">
        <v>7.29</v>
      </c>
      <c r="T26" s="4">
        <v>11.32</v>
      </c>
      <c r="U26" s="4">
        <v>21.16</v>
      </c>
      <c r="V26" s="4">
        <v>101.26</v>
      </c>
      <c r="W26" s="4">
        <v>84.38</v>
      </c>
      <c r="X26" s="4">
        <f t="shared" si="0"/>
        <v>16.88000000000001</v>
      </c>
      <c r="Y26" s="4">
        <v>91</v>
      </c>
    </row>
    <row r="27" spans="2:25" x14ac:dyDescent="0.2">
      <c r="B27" t="s">
        <v>28</v>
      </c>
      <c r="C27" t="s">
        <v>134</v>
      </c>
      <c r="D27" t="s">
        <v>135</v>
      </c>
      <c r="E27" t="s">
        <v>29</v>
      </c>
      <c r="F27" t="s">
        <v>136</v>
      </c>
      <c r="G27" s="7" t="s">
        <v>102</v>
      </c>
      <c r="H27" t="s">
        <v>26</v>
      </c>
      <c r="I27" t="s">
        <v>103</v>
      </c>
      <c r="J27" t="s">
        <v>25</v>
      </c>
      <c r="K27" t="s">
        <v>137</v>
      </c>
      <c r="M27" s="5" t="s">
        <v>37</v>
      </c>
      <c r="N27" t="s">
        <v>43</v>
      </c>
      <c r="O27" t="s">
        <v>122</v>
      </c>
      <c r="P27" s="4">
        <v>23.55</v>
      </c>
      <c r="Q27" s="4">
        <v>13.54</v>
      </c>
      <c r="R27" s="4">
        <v>5.59</v>
      </c>
      <c r="S27" s="4">
        <v>6.63</v>
      </c>
      <c r="T27" s="4">
        <v>12.44</v>
      </c>
      <c r="U27" s="4">
        <v>24.81</v>
      </c>
      <c r="V27" s="4">
        <v>105.59</v>
      </c>
      <c r="W27" s="4">
        <v>91.97</v>
      </c>
      <c r="X27" s="4">
        <f t="shared" si="0"/>
        <v>13.620000000000005</v>
      </c>
      <c r="Y27" s="4">
        <v>100</v>
      </c>
    </row>
    <row r="28" spans="2:25" x14ac:dyDescent="0.2">
      <c r="B28" t="s">
        <v>28</v>
      </c>
      <c r="C28" t="s">
        <v>118</v>
      </c>
      <c r="D28" t="s">
        <v>119</v>
      </c>
      <c r="E28" t="s">
        <v>29</v>
      </c>
      <c r="F28" t="s">
        <v>123</v>
      </c>
      <c r="G28" s="7" t="s">
        <v>125</v>
      </c>
      <c r="H28" s="2" t="s">
        <v>126</v>
      </c>
      <c r="I28" t="s">
        <v>103</v>
      </c>
      <c r="J28" t="s">
        <v>25</v>
      </c>
      <c r="M28" s="5" t="s">
        <v>37</v>
      </c>
      <c r="N28" t="s">
        <v>43</v>
      </c>
      <c r="O28" t="s">
        <v>122</v>
      </c>
      <c r="P28" s="4">
        <v>19.559999999999999</v>
      </c>
      <c r="Q28" s="4">
        <v>11.71</v>
      </c>
      <c r="R28" s="4">
        <v>4.72</v>
      </c>
      <c r="S28" s="4">
        <v>7.22</v>
      </c>
      <c r="T28" s="4">
        <v>11.9</v>
      </c>
      <c r="U28" s="4">
        <v>22.7</v>
      </c>
      <c r="V28" s="4">
        <v>95.66</v>
      </c>
      <c r="W28" s="4">
        <v>87.35</v>
      </c>
      <c r="X28" s="4">
        <f t="shared" si="0"/>
        <v>8.3100000000000023</v>
      </c>
      <c r="Y28" s="4">
        <v>93</v>
      </c>
    </row>
    <row r="29" spans="2:25" x14ac:dyDescent="0.2">
      <c r="B29" t="s">
        <v>28</v>
      </c>
      <c r="C29" t="s">
        <v>118</v>
      </c>
      <c r="D29" t="s">
        <v>119</v>
      </c>
      <c r="E29" t="s">
        <v>29</v>
      </c>
      <c r="F29" t="s">
        <v>120</v>
      </c>
      <c r="G29" s="7" t="s">
        <v>124</v>
      </c>
      <c r="H29" s="2" t="s">
        <v>121</v>
      </c>
      <c r="I29" t="s">
        <v>103</v>
      </c>
      <c r="J29" t="s">
        <v>25</v>
      </c>
      <c r="M29" s="5" t="s">
        <v>37</v>
      </c>
      <c r="N29" t="s">
        <v>43</v>
      </c>
      <c r="O29" t="s">
        <v>122</v>
      </c>
      <c r="P29" s="4">
        <v>19.899999999999999</v>
      </c>
      <c r="Q29" s="4">
        <v>11.37</v>
      </c>
      <c r="R29" s="4">
        <v>5.03</v>
      </c>
      <c r="S29" s="4">
        <v>6.1</v>
      </c>
      <c r="T29" s="4">
        <v>12.25</v>
      </c>
      <c r="U29" s="4">
        <v>22.31</v>
      </c>
      <c r="V29" s="4">
        <v>98.74</v>
      </c>
      <c r="W29" s="4">
        <v>87.34</v>
      </c>
      <c r="X29" s="4">
        <f t="shared" si="0"/>
        <v>11.399999999999991</v>
      </c>
      <c r="Y29" s="4">
        <v>91</v>
      </c>
    </row>
    <row r="30" spans="2:25" x14ac:dyDescent="0.2">
      <c r="B30" t="s">
        <v>28</v>
      </c>
      <c r="C30" t="s">
        <v>127</v>
      </c>
      <c r="D30" t="s">
        <v>128</v>
      </c>
      <c r="E30" t="s">
        <v>29</v>
      </c>
      <c r="F30" t="s">
        <v>129</v>
      </c>
      <c r="G30" s="7" t="s">
        <v>130</v>
      </c>
      <c r="H30" t="s">
        <v>131</v>
      </c>
      <c r="I30" t="s">
        <v>132</v>
      </c>
      <c r="J30" t="s">
        <v>25</v>
      </c>
      <c r="K30" t="s">
        <v>133</v>
      </c>
      <c r="M30" s="5" t="s">
        <v>37</v>
      </c>
      <c r="N30" t="s">
        <v>43</v>
      </c>
      <c r="O30" t="s">
        <v>122</v>
      </c>
      <c r="P30" s="4">
        <v>21.8</v>
      </c>
      <c r="Q30" s="4">
        <v>12.5</v>
      </c>
      <c r="R30" s="4">
        <v>4.4800000000000004</v>
      </c>
      <c r="S30" s="4">
        <v>6.14</v>
      </c>
      <c r="T30" s="4">
        <v>11.22</v>
      </c>
      <c r="U30" s="4">
        <v>23.98</v>
      </c>
      <c r="V30" s="4">
        <v>100.87</v>
      </c>
      <c r="W30" s="4">
        <v>89.27</v>
      </c>
      <c r="X30" s="4">
        <f t="shared" si="0"/>
        <v>11.600000000000009</v>
      </c>
      <c r="Y30" s="4">
        <v>94</v>
      </c>
    </row>
    <row r="31" spans="2:25" x14ac:dyDescent="0.2">
      <c r="B31" t="s">
        <v>28</v>
      </c>
      <c r="C31" t="s">
        <v>127</v>
      </c>
      <c r="D31" t="s">
        <v>128</v>
      </c>
      <c r="E31" t="s">
        <v>29</v>
      </c>
      <c r="F31" t="s">
        <v>138</v>
      </c>
      <c r="G31" s="7" t="s">
        <v>139</v>
      </c>
      <c r="H31" t="s">
        <v>140</v>
      </c>
      <c r="I31" t="s">
        <v>141</v>
      </c>
      <c r="J31" t="s">
        <v>25</v>
      </c>
      <c r="K31" t="s">
        <v>133</v>
      </c>
      <c r="M31" s="5" t="s">
        <v>37</v>
      </c>
      <c r="N31" t="s">
        <v>43</v>
      </c>
      <c r="O31" t="s">
        <v>122</v>
      </c>
      <c r="P31" s="4">
        <v>23.33</v>
      </c>
      <c r="Q31" s="4">
        <v>13.21</v>
      </c>
      <c r="R31" s="4">
        <v>4.76</v>
      </c>
      <c r="S31" s="4">
        <v>6</v>
      </c>
      <c r="T31" s="4">
        <v>10.49</v>
      </c>
      <c r="U31" s="4">
        <v>23.38</v>
      </c>
      <c r="V31" s="4">
        <v>101.75</v>
      </c>
      <c r="W31" s="4">
        <v>89.05</v>
      </c>
      <c r="X31" s="4">
        <f t="shared" si="0"/>
        <v>12.700000000000003</v>
      </c>
      <c r="Y31" s="4">
        <v>92</v>
      </c>
    </row>
    <row r="32" spans="2:25" x14ac:dyDescent="0.2">
      <c r="G32" s="7"/>
    </row>
    <row r="33" spans="7:7" x14ac:dyDescent="0.2">
      <c r="G33" s="7"/>
    </row>
    <row r="34" spans="7:7" x14ac:dyDescent="0.2">
      <c r="G34" s="7"/>
    </row>
    <row r="35" spans="7:7" x14ac:dyDescent="0.2">
      <c r="G35" s="7"/>
    </row>
    <row r="36" spans="7:7" x14ac:dyDescent="0.2">
      <c r="G36" s="7"/>
    </row>
    <row r="37" spans="7:7" x14ac:dyDescent="0.2">
      <c r="G37" s="7"/>
    </row>
    <row r="38" spans="7:7" x14ac:dyDescent="0.2">
      <c r="G38" s="7"/>
    </row>
    <row r="39" spans="7:7" x14ac:dyDescent="0.2">
      <c r="G39" s="7"/>
    </row>
    <row r="40" spans="7:7" x14ac:dyDescent="0.2">
      <c r="G40" s="7"/>
    </row>
    <row r="41" spans="7:7" x14ac:dyDescent="0.2">
      <c r="G41" s="7"/>
    </row>
    <row r="42" spans="7:7" x14ac:dyDescent="0.2">
      <c r="G42" s="7"/>
    </row>
    <row r="43" spans="7:7" x14ac:dyDescent="0.2">
      <c r="G43" s="7"/>
    </row>
    <row r="44" spans="7:7" x14ac:dyDescent="0.2">
      <c r="G44" s="7"/>
    </row>
    <row r="45" spans="7:7" x14ac:dyDescent="0.2">
      <c r="G45" s="7"/>
    </row>
    <row r="46" spans="7:7" x14ac:dyDescent="0.2">
      <c r="G46" s="7"/>
    </row>
    <row r="47" spans="7:7" x14ac:dyDescent="0.2">
      <c r="G47" s="7"/>
    </row>
    <row r="48" spans="7:7" x14ac:dyDescent="0.2">
      <c r="G48" s="7"/>
    </row>
    <row r="49" spans="7:7" x14ac:dyDescent="0.2">
      <c r="G49" s="7"/>
    </row>
    <row r="50" spans="7:7" x14ac:dyDescent="0.2">
      <c r="G50" s="7"/>
    </row>
    <row r="51" spans="7:7" x14ac:dyDescent="0.2">
      <c r="G51" s="7"/>
    </row>
    <row r="52" spans="7:7" x14ac:dyDescent="0.2">
      <c r="G52" s="7"/>
    </row>
    <row r="53" spans="7:7" x14ac:dyDescent="0.2">
      <c r="G53" s="7"/>
    </row>
    <row r="54" spans="7:7" x14ac:dyDescent="0.2">
      <c r="G54" s="7"/>
    </row>
    <row r="55" spans="7:7" x14ac:dyDescent="0.2">
      <c r="G55" s="7"/>
    </row>
    <row r="56" spans="7:7" x14ac:dyDescent="0.2">
      <c r="G56" s="7"/>
    </row>
    <row r="57" spans="7:7" x14ac:dyDescent="0.2">
      <c r="G57" s="7"/>
    </row>
    <row r="58" spans="7:7" x14ac:dyDescent="0.2">
      <c r="G58" s="7"/>
    </row>
    <row r="59" spans="7:7" x14ac:dyDescent="0.2">
      <c r="G59" s="7"/>
    </row>
    <row r="60" spans="7:7" x14ac:dyDescent="0.2">
      <c r="G60" s="7"/>
    </row>
    <row r="61" spans="7:7" x14ac:dyDescent="0.2">
      <c r="G61" s="7"/>
    </row>
    <row r="62" spans="7:7" x14ac:dyDescent="0.2">
      <c r="G62" s="7"/>
    </row>
    <row r="63" spans="7:7" x14ac:dyDescent="0.2">
      <c r="G63" s="7"/>
    </row>
    <row r="64" spans="7:7" x14ac:dyDescent="0.2">
      <c r="G64" s="7"/>
    </row>
    <row r="65" spans="7:7" x14ac:dyDescent="0.2">
      <c r="G65" s="7"/>
    </row>
    <row r="66" spans="7:7" x14ac:dyDescent="0.2">
      <c r="G66" s="7"/>
    </row>
    <row r="67" spans="7:7" x14ac:dyDescent="0.2">
      <c r="G67" s="7"/>
    </row>
    <row r="68" spans="7:7" x14ac:dyDescent="0.2">
      <c r="G68" s="7"/>
    </row>
    <row r="69" spans="7:7" x14ac:dyDescent="0.2">
      <c r="G69" s="7"/>
    </row>
    <row r="70" spans="7:7" x14ac:dyDescent="0.2">
      <c r="G70" s="7"/>
    </row>
    <row r="71" spans="7:7" x14ac:dyDescent="0.2">
      <c r="G71" s="7"/>
    </row>
    <row r="72" spans="7:7" x14ac:dyDescent="0.2">
      <c r="G72" s="7"/>
    </row>
    <row r="73" spans="7:7" x14ac:dyDescent="0.2">
      <c r="G73" s="7"/>
    </row>
    <row r="74" spans="7:7" x14ac:dyDescent="0.2">
      <c r="G74" s="7"/>
    </row>
    <row r="75" spans="7:7" x14ac:dyDescent="0.2">
      <c r="G75" s="7"/>
    </row>
    <row r="76" spans="7:7" x14ac:dyDescent="0.2">
      <c r="G76" s="7"/>
    </row>
    <row r="77" spans="7:7" x14ac:dyDescent="0.2">
      <c r="G77" s="7"/>
    </row>
    <row r="78" spans="7:7" x14ac:dyDescent="0.2">
      <c r="G78" s="7"/>
    </row>
    <row r="79" spans="7:7" x14ac:dyDescent="0.2">
      <c r="G79" s="7"/>
    </row>
    <row r="80" spans="7:7" x14ac:dyDescent="0.2">
      <c r="G80" s="7"/>
    </row>
    <row r="81" spans="7:7" x14ac:dyDescent="0.2">
      <c r="G81" s="7"/>
    </row>
    <row r="82" spans="7:7" x14ac:dyDescent="0.2">
      <c r="G82" s="7"/>
    </row>
    <row r="83" spans="7:7" x14ac:dyDescent="0.2">
      <c r="G83" s="7"/>
    </row>
    <row r="84" spans="7:7" x14ac:dyDescent="0.2">
      <c r="G84" s="7"/>
    </row>
    <row r="85" spans="7:7" x14ac:dyDescent="0.2">
      <c r="G85" s="7"/>
    </row>
    <row r="86" spans="7:7" x14ac:dyDescent="0.2">
      <c r="G86" s="7"/>
    </row>
    <row r="87" spans="7:7" x14ac:dyDescent="0.2">
      <c r="G87" s="7"/>
    </row>
    <row r="88" spans="7:7" x14ac:dyDescent="0.2">
      <c r="G88" s="7"/>
    </row>
    <row r="89" spans="7:7" x14ac:dyDescent="0.2">
      <c r="G89" s="7"/>
    </row>
    <row r="90" spans="7:7" x14ac:dyDescent="0.2">
      <c r="G90" s="7"/>
    </row>
    <row r="91" spans="7:7" x14ac:dyDescent="0.2">
      <c r="G91" s="7"/>
    </row>
    <row r="92" spans="7:7" x14ac:dyDescent="0.2">
      <c r="G92" s="7"/>
    </row>
    <row r="93" spans="7:7" x14ac:dyDescent="0.2">
      <c r="G93" s="7"/>
    </row>
    <row r="94" spans="7:7" x14ac:dyDescent="0.2">
      <c r="G94" s="7"/>
    </row>
    <row r="95" spans="7:7" x14ac:dyDescent="0.2">
      <c r="G95" s="7"/>
    </row>
    <row r="96" spans="7:7" x14ac:dyDescent="0.2">
      <c r="G96" s="7"/>
    </row>
    <row r="97" spans="7:7" x14ac:dyDescent="0.2">
      <c r="G97" s="7"/>
    </row>
    <row r="98" spans="7:7" x14ac:dyDescent="0.2">
      <c r="G98" s="7"/>
    </row>
    <row r="99" spans="7:7" x14ac:dyDescent="0.2">
      <c r="G99" s="7"/>
    </row>
    <row r="100" spans="7:7" x14ac:dyDescent="0.2">
      <c r="G100" s="7"/>
    </row>
    <row r="101" spans="7:7" x14ac:dyDescent="0.2">
      <c r="G101" s="7"/>
    </row>
    <row r="102" spans="7:7" x14ac:dyDescent="0.2">
      <c r="G102" s="7"/>
    </row>
    <row r="103" spans="7:7" x14ac:dyDescent="0.2">
      <c r="G103" s="7"/>
    </row>
    <row r="104" spans="7:7" x14ac:dyDescent="0.2">
      <c r="G104" s="7"/>
    </row>
    <row r="105" spans="7:7" x14ac:dyDescent="0.2">
      <c r="G105" s="7"/>
    </row>
    <row r="106" spans="7:7" x14ac:dyDescent="0.2">
      <c r="G106" s="7"/>
    </row>
    <row r="107" spans="7:7" x14ac:dyDescent="0.2">
      <c r="G107" s="7"/>
    </row>
    <row r="108" spans="7:7" x14ac:dyDescent="0.2">
      <c r="G108" s="7"/>
    </row>
    <row r="109" spans="7:7" x14ac:dyDescent="0.2">
      <c r="G109" s="7"/>
    </row>
    <row r="110" spans="7:7" x14ac:dyDescent="0.2">
      <c r="G110" s="7"/>
    </row>
    <row r="111" spans="7:7" x14ac:dyDescent="0.2">
      <c r="G111" s="7"/>
    </row>
    <row r="112" spans="7:7" x14ac:dyDescent="0.2">
      <c r="G112" s="7"/>
    </row>
    <row r="113" spans="7:7" x14ac:dyDescent="0.2">
      <c r="G113" s="7"/>
    </row>
    <row r="114" spans="7:7" x14ac:dyDescent="0.2">
      <c r="G114" s="7"/>
    </row>
    <row r="115" spans="7:7" x14ac:dyDescent="0.2">
      <c r="G115" s="7"/>
    </row>
    <row r="116" spans="7:7" x14ac:dyDescent="0.2">
      <c r="G116" s="7"/>
    </row>
    <row r="117" spans="7:7" x14ac:dyDescent="0.2">
      <c r="G117" s="7"/>
    </row>
    <row r="118" spans="7:7" x14ac:dyDescent="0.2">
      <c r="G118" s="7"/>
    </row>
    <row r="119" spans="7:7" x14ac:dyDescent="0.2">
      <c r="G119" s="7"/>
    </row>
    <row r="120" spans="7:7" x14ac:dyDescent="0.2">
      <c r="G120" s="7"/>
    </row>
    <row r="121" spans="7:7" x14ac:dyDescent="0.2">
      <c r="G121" s="7"/>
    </row>
    <row r="122" spans="7:7" x14ac:dyDescent="0.2">
      <c r="G122" s="7"/>
    </row>
    <row r="123" spans="7:7" x14ac:dyDescent="0.2">
      <c r="G123" s="7"/>
    </row>
    <row r="124" spans="7:7" x14ac:dyDescent="0.2">
      <c r="G124" s="7"/>
    </row>
    <row r="125" spans="7:7" x14ac:dyDescent="0.2">
      <c r="G125" s="7"/>
    </row>
    <row r="126" spans="7:7" x14ac:dyDescent="0.2">
      <c r="G126" s="7"/>
    </row>
    <row r="127" spans="7:7" x14ac:dyDescent="0.2">
      <c r="G127" s="7"/>
    </row>
    <row r="128" spans="7:7" x14ac:dyDescent="0.2">
      <c r="G128" s="7"/>
    </row>
    <row r="129" spans="7:7" x14ac:dyDescent="0.2">
      <c r="G129" s="7"/>
    </row>
    <row r="130" spans="7:7" x14ac:dyDescent="0.2">
      <c r="G130" s="7"/>
    </row>
    <row r="131" spans="7:7" x14ac:dyDescent="0.2">
      <c r="G131" s="7"/>
    </row>
    <row r="132" spans="7:7" x14ac:dyDescent="0.2">
      <c r="G132" s="7"/>
    </row>
    <row r="133" spans="7:7" x14ac:dyDescent="0.2">
      <c r="G133" s="7"/>
    </row>
    <row r="134" spans="7:7" x14ac:dyDescent="0.2">
      <c r="G134" s="7"/>
    </row>
    <row r="135" spans="7:7" x14ac:dyDescent="0.2">
      <c r="G135" s="7"/>
    </row>
    <row r="136" spans="7:7" x14ac:dyDescent="0.2">
      <c r="G136" s="7"/>
    </row>
    <row r="137" spans="7:7" x14ac:dyDescent="0.2">
      <c r="G137" s="7"/>
    </row>
    <row r="138" spans="7:7" x14ac:dyDescent="0.2">
      <c r="G138" s="7"/>
    </row>
    <row r="139" spans="7:7" x14ac:dyDescent="0.2">
      <c r="G139" s="7"/>
    </row>
    <row r="140" spans="7:7" x14ac:dyDescent="0.2">
      <c r="G140" s="7"/>
    </row>
    <row r="141" spans="7:7" x14ac:dyDescent="0.2">
      <c r="G141" s="7"/>
    </row>
    <row r="142" spans="7:7" x14ac:dyDescent="0.2">
      <c r="G142" s="7"/>
    </row>
    <row r="143" spans="7:7" x14ac:dyDescent="0.2">
      <c r="G143" s="7"/>
    </row>
    <row r="144" spans="7:7" x14ac:dyDescent="0.2">
      <c r="G144" s="7"/>
    </row>
    <row r="145" spans="7:7" x14ac:dyDescent="0.2">
      <c r="G145" s="7"/>
    </row>
    <row r="146" spans="7:7" x14ac:dyDescent="0.2">
      <c r="G146" s="7"/>
    </row>
    <row r="147" spans="7:7" x14ac:dyDescent="0.2">
      <c r="G147" s="7"/>
    </row>
    <row r="148" spans="7:7" x14ac:dyDescent="0.2">
      <c r="G148" s="7"/>
    </row>
    <row r="149" spans="7:7" x14ac:dyDescent="0.2">
      <c r="G149" s="7"/>
    </row>
    <row r="150" spans="7:7" x14ac:dyDescent="0.2">
      <c r="G150" s="7"/>
    </row>
    <row r="151" spans="7:7" x14ac:dyDescent="0.2">
      <c r="G151" s="7"/>
    </row>
    <row r="152" spans="7:7" x14ac:dyDescent="0.2">
      <c r="G152" s="7"/>
    </row>
    <row r="153" spans="7:7" x14ac:dyDescent="0.2">
      <c r="G153" s="7"/>
    </row>
    <row r="154" spans="7:7" x14ac:dyDescent="0.2">
      <c r="G154" s="7"/>
    </row>
    <row r="155" spans="7:7" x14ac:dyDescent="0.2">
      <c r="G155" s="7"/>
    </row>
    <row r="156" spans="7:7" x14ac:dyDescent="0.2">
      <c r="G156" s="7"/>
    </row>
    <row r="157" spans="7:7" x14ac:dyDescent="0.2">
      <c r="G157" s="7"/>
    </row>
    <row r="158" spans="7:7" x14ac:dyDescent="0.2">
      <c r="G158" s="7"/>
    </row>
    <row r="159" spans="7:7" x14ac:dyDescent="0.2">
      <c r="G159" s="7"/>
    </row>
    <row r="160" spans="7:7" x14ac:dyDescent="0.2">
      <c r="G160" s="7"/>
    </row>
    <row r="161" spans="7:7" x14ac:dyDescent="0.2">
      <c r="G161" s="7"/>
    </row>
    <row r="162" spans="7:7" x14ac:dyDescent="0.2">
      <c r="G162" s="7"/>
    </row>
    <row r="163" spans="7:7" x14ac:dyDescent="0.2">
      <c r="G163" s="7"/>
    </row>
    <row r="164" spans="7:7" x14ac:dyDescent="0.2">
      <c r="G164" s="7"/>
    </row>
    <row r="165" spans="7:7" x14ac:dyDescent="0.2">
      <c r="G165" s="7"/>
    </row>
    <row r="166" spans="7:7" x14ac:dyDescent="0.2">
      <c r="G166" s="7"/>
    </row>
    <row r="167" spans="7:7" x14ac:dyDescent="0.2">
      <c r="G167" s="7"/>
    </row>
    <row r="168" spans="7:7" x14ac:dyDescent="0.2">
      <c r="G168" s="7"/>
    </row>
    <row r="169" spans="7:7" x14ac:dyDescent="0.2">
      <c r="G169" s="7"/>
    </row>
    <row r="170" spans="7:7" x14ac:dyDescent="0.2">
      <c r="G170" s="7"/>
    </row>
    <row r="171" spans="7:7" x14ac:dyDescent="0.2">
      <c r="G171" s="7"/>
    </row>
    <row r="172" spans="7:7" x14ac:dyDescent="0.2">
      <c r="G172" s="7"/>
    </row>
    <row r="173" spans="7:7" x14ac:dyDescent="0.2">
      <c r="G173" s="7"/>
    </row>
    <row r="174" spans="7:7" x14ac:dyDescent="0.2">
      <c r="G174" s="7"/>
    </row>
    <row r="175" spans="7:7" x14ac:dyDescent="0.2">
      <c r="G175" s="7"/>
    </row>
    <row r="176" spans="7:7" x14ac:dyDescent="0.2">
      <c r="G176" s="7"/>
    </row>
    <row r="177" spans="7:7" x14ac:dyDescent="0.2">
      <c r="G177" s="7"/>
    </row>
    <row r="178" spans="7:7" x14ac:dyDescent="0.2">
      <c r="G178" s="7"/>
    </row>
    <row r="179" spans="7:7" x14ac:dyDescent="0.2">
      <c r="G179" s="7"/>
    </row>
    <row r="180" spans="7:7" x14ac:dyDescent="0.2">
      <c r="G180" s="7"/>
    </row>
    <row r="181" spans="7:7" x14ac:dyDescent="0.2">
      <c r="G181" s="7"/>
    </row>
    <row r="182" spans="7:7" x14ac:dyDescent="0.2">
      <c r="G182" s="7"/>
    </row>
    <row r="183" spans="7:7" x14ac:dyDescent="0.2">
      <c r="G183" s="7"/>
    </row>
    <row r="184" spans="7:7" x14ac:dyDescent="0.2">
      <c r="G184" s="7"/>
    </row>
    <row r="185" spans="7:7" x14ac:dyDescent="0.2">
      <c r="G185" s="7"/>
    </row>
    <row r="186" spans="7:7" x14ac:dyDescent="0.2">
      <c r="G186" s="7"/>
    </row>
    <row r="187" spans="7:7" x14ac:dyDescent="0.2">
      <c r="G187" s="7"/>
    </row>
    <row r="188" spans="7:7" x14ac:dyDescent="0.2">
      <c r="G188" s="7"/>
    </row>
    <row r="189" spans="7:7" x14ac:dyDescent="0.2">
      <c r="G189" s="7"/>
    </row>
    <row r="190" spans="7:7" x14ac:dyDescent="0.2">
      <c r="G190" s="7"/>
    </row>
    <row r="191" spans="7:7" x14ac:dyDescent="0.2">
      <c r="G191" s="7"/>
    </row>
    <row r="192" spans="7:7" x14ac:dyDescent="0.2">
      <c r="G192" s="7"/>
    </row>
    <row r="193" spans="7:7" x14ac:dyDescent="0.2">
      <c r="G193" s="7"/>
    </row>
    <row r="194" spans="7:7" x14ac:dyDescent="0.2">
      <c r="G194" s="7"/>
    </row>
    <row r="195" spans="7:7" x14ac:dyDescent="0.2">
      <c r="G195" s="7"/>
    </row>
    <row r="196" spans="7:7" x14ac:dyDescent="0.2">
      <c r="G196" s="7"/>
    </row>
    <row r="197" spans="7:7" x14ac:dyDescent="0.2">
      <c r="G197" s="7"/>
    </row>
    <row r="198" spans="7:7" x14ac:dyDescent="0.2">
      <c r="G198" s="7"/>
    </row>
    <row r="199" spans="7:7" x14ac:dyDescent="0.2">
      <c r="G199" s="7"/>
    </row>
    <row r="200" spans="7:7" x14ac:dyDescent="0.2">
      <c r="G200" s="7"/>
    </row>
    <row r="201" spans="7:7" x14ac:dyDescent="0.2">
      <c r="G201" s="7"/>
    </row>
    <row r="202" spans="7:7" x14ac:dyDescent="0.2">
      <c r="G202" s="7"/>
    </row>
    <row r="203" spans="7:7" x14ac:dyDescent="0.2">
      <c r="G203" s="7"/>
    </row>
    <row r="204" spans="7:7" x14ac:dyDescent="0.2">
      <c r="G204" s="7"/>
    </row>
    <row r="205" spans="7:7" x14ac:dyDescent="0.2">
      <c r="G205" s="7"/>
    </row>
    <row r="206" spans="7:7" x14ac:dyDescent="0.2">
      <c r="G206" s="7"/>
    </row>
    <row r="207" spans="7:7" x14ac:dyDescent="0.2">
      <c r="G207" s="7"/>
    </row>
    <row r="208" spans="7:7" x14ac:dyDescent="0.2">
      <c r="G208" s="7"/>
    </row>
    <row r="209" spans="7:7" x14ac:dyDescent="0.2">
      <c r="G209" s="7"/>
    </row>
    <row r="210" spans="7:7" x14ac:dyDescent="0.2">
      <c r="G210" s="7"/>
    </row>
    <row r="211" spans="7:7" x14ac:dyDescent="0.2">
      <c r="G211" s="7"/>
    </row>
    <row r="212" spans="7:7" x14ac:dyDescent="0.2">
      <c r="G212" s="7"/>
    </row>
    <row r="213" spans="7:7" x14ac:dyDescent="0.2">
      <c r="G213" s="7"/>
    </row>
    <row r="214" spans="7:7" x14ac:dyDescent="0.2">
      <c r="G214" s="7"/>
    </row>
    <row r="215" spans="7:7" x14ac:dyDescent="0.2">
      <c r="G215" s="7"/>
    </row>
    <row r="216" spans="7:7" x14ac:dyDescent="0.2">
      <c r="G216" s="7"/>
    </row>
    <row r="217" spans="7:7" x14ac:dyDescent="0.2">
      <c r="G217" s="7"/>
    </row>
    <row r="218" spans="7:7" x14ac:dyDescent="0.2">
      <c r="G218" s="7"/>
    </row>
    <row r="219" spans="7:7" x14ac:dyDescent="0.2">
      <c r="G219" s="7"/>
    </row>
    <row r="220" spans="7:7" x14ac:dyDescent="0.2">
      <c r="G220" s="7"/>
    </row>
    <row r="221" spans="7:7" x14ac:dyDescent="0.2">
      <c r="G221" s="7"/>
    </row>
    <row r="222" spans="7:7" x14ac:dyDescent="0.2">
      <c r="G222" s="7"/>
    </row>
    <row r="223" spans="7:7" x14ac:dyDescent="0.2">
      <c r="G223" s="7"/>
    </row>
    <row r="224" spans="7:7" x14ac:dyDescent="0.2">
      <c r="G224" s="7"/>
    </row>
    <row r="225" spans="7:7" x14ac:dyDescent="0.2">
      <c r="G225" s="7"/>
    </row>
    <row r="226" spans="7:7" x14ac:dyDescent="0.2">
      <c r="G226" s="7"/>
    </row>
    <row r="227" spans="7:7" x14ac:dyDescent="0.2">
      <c r="G227" s="7"/>
    </row>
    <row r="228" spans="7:7" x14ac:dyDescent="0.2">
      <c r="G228" s="7"/>
    </row>
    <row r="229" spans="7:7" x14ac:dyDescent="0.2">
      <c r="G229" s="7"/>
    </row>
    <row r="230" spans="7:7" x14ac:dyDescent="0.2">
      <c r="G230" s="7"/>
    </row>
    <row r="231" spans="7:7" x14ac:dyDescent="0.2">
      <c r="G231" s="7"/>
    </row>
    <row r="232" spans="7:7" x14ac:dyDescent="0.2">
      <c r="G232" s="7"/>
    </row>
    <row r="233" spans="7:7" x14ac:dyDescent="0.2">
      <c r="G233" s="7"/>
    </row>
    <row r="234" spans="7:7" x14ac:dyDescent="0.2">
      <c r="G234" s="7"/>
    </row>
    <row r="235" spans="7:7" x14ac:dyDescent="0.2">
      <c r="G235" s="7"/>
    </row>
    <row r="236" spans="7:7" x14ac:dyDescent="0.2">
      <c r="G236" s="7"/>
    </row>
    <row r="237" spans="7:7" x14ac:dyDescent="0.2">
      <c r="G237" s="7"/>
    </row>
    <row r="238" spans="7:7" x14ac:dyDescent="0.2">
      <c r="G238" s="7"/>
    </row>
    <row r="239" spans="7:7" x14ac:dyDescent="0.2">
      <c r="G239" s="7"/>
    </row>
    <row r="240" spans="7:7" x14ac:dyDescent="0.2">
      <c r="G240" s="7"/>
    </row>
    <row r="241" spans="7:7" x14ac:dyDescent="0.2">
      <c r="G241" s="7"/>
    </row>
    <row r="242" spans="7:7" x14ac:dyDescent="0.2">
      <c r="G242" s="7"/>
    </row>
    <row r="243" spans="7:7" x14ac:dyDescent="0.2">
      <c r="G243" s="7"/>
    </row>
    <row r="244" spans="7:7" x14ac:dyDescent="0.2">
      <c r="G244" s="7"/>
    </row>
    <row r="245" spans="7:7" x14ac:dyDescent="0.2">
      <c r="G245" s="7"/>
    </row>
    <row r="246" spans="7:7" x14ac:dyDescent="0.2">
      <c r="G246" s="7"/>
    </row>
    <row r="247" spans="7:7" x14ac:dyDescent="0.2">
      <c r="G247" s="7"/>
    </row>
    <row r="248" spans="7:7" x14ac:dyDescent="0.2">
      <c r="G248" s="7"/>
    </row>
    <row r="249" spans="7:7" x14ac:dyDescent="0.2">
      <c r="G249" s="7"/>
    </row>
    <row r="250" spans="7:7" x14ac:dyDescent="0.2">
      <c r="G250" s="7"/>
    </row>
    <row r="251" spans="7:7" x14ac:dyDescent="0.2">
      <c r="G251" s="7"/>
    </row>
    <row r="252" spans="7:7" x14ac:dyDescent="0.2">
      <c r="G252" s="7"/>
    </row>
    <row r="253" spans="7:7" x14ac:dyDescent="0.2">
      <c r="G253" s="7"/>
    </row>
    <row r="254" spans="7:7" x14ac:dyDescent="0.2">
      <c r="G254" s="7"/>
    </row>
    <row r="255" spans="7:7" x14ac:dyDescent="0.2">
      <c r="G255" s="7"/>
    </row>
    <row r="256" spans="7:7" x14ac:dyDescent="0.2">
      <c r="G256" s="7"/>
    </row>
    <row r="257" spans="7:7" x14ac:dyDescent="0.2">
      <c r="G257" s="7"/>
    </row>
    <row r="258" spans="7:7" x14ac:dyDescent="0.2">
      <c r="G258" s="7"/>
    </row>
    <row r="259" spans="7:7" x14ac:dyDescent="0.2">
      <c r="G259" s="7"/>
    </row>
    <row r="260" spans="7:7" x14ac:dyDescent="0.2">
      <c r="G260" s="7"/>
    </row>
    <row r="261" spans="7:7" x14ac:dyDescent="0.2">
      <c r="G261" s="7"/>
    </row>
    <row r="262" spans="7:7" x14ac:dyDescent="0.2">
      <c r="G262" s="7"/>
    </row>
    <row r="263" spans="7:7" x14ac:dyDescent="0.2">
      <c r="G263" s="7"/>
    </row>
    <row r="264" spans="7:7" x14ac:dyDescent="0.2">
      <c r="G264" s="7"/>
    </row>
    <row r="265" spans="7:7" x14ac:dyDescent="0.2">
      <c r="G265" s="7"/>
    </row>
    <row r="266" spans="7:7" x14ac:dyDescent="0.2">
      <c r="G266" s="7"/>
    </row>
    <row r="267" spans="7:7" x14ac:dyDescent="0.2">
      <c r="G267" s="7"/>
    </row>
    <row r="268" spans="7:7" x14ac:dyDescent="0.2">
      <c r="G268" s="7"/>
    </row>
    <row r="269" spans="7:7" x14ac:dyDescent="0.2">
      <c r="G269" s="7"/>
    </row>
    <row r="270" spans="7:7" x14ac:dyDescent="0.2">
      <c r="G270" s="7"/>
    </row>
    <row r="271" spans="7:7" x14ac:dyDescent="0.2">
      <c r="G271" s="7"/>
    </row>
    <row r="272" spans="7:7" x14ac:dyDescent="0.2">
      <c r="G272" s="7"/>
    </row>
    <row r="273" spans="7:7" x14ac:dyDescent="0.2">
      <c r="G273" s="7"/>
    </row>
    <row r="274" spans="7:7" x14ac:dyDescent="0.2">
      <c r="G274" s="7"/>
    </row>
    <row r="275" spans="7:7" x14ac:dyDescent="0.2">
      <c r="G275" s="7"/>
    </row>
    <row r="276" spans="7:7" x14ac:dyDescent="0.2">
      <c r="G276" s="7"/>
    </row>
    <row r="277" spans="7:7" x14ac:dyDescent="0.2">
      <c r="G277" s="7"/>
    </row>
    <row r="278" spans="7:7" x14ac:dyDescent="0.2">
      <c r="G278" s="7"/>
    </row>
    <row r="279" spans="7:7" x14ac:dyDescent="0.2">
      <c r="G279" s="7"/>
    </row>
    <row r="280" spans="7:7" x14ac:dyDescent="0.2">
      <c r="G280" s="7"/>
    </row>
    <row r="281" spans="7:7" x14ac:dyDescent="0.2">
      <c r="G281" s="7"/>
    </row>
    <row r="282" spans="7:7" x14ac:dyDescent="0.2">
      <c r="G282" s="7"/>
    </row>
    <row r="283" spans="7:7" x14ac:dyDescent="0.2">
      <c r="G283" s="7"/>
    </row>
    <row r="284" spans="7:7" x14ac:dyDescent="0.2">
      <c r="G284" s="7"/>
    </row>
    <row r="285" spans="7:7" x14ac:dyDescent="0.2">
      <c r="G285" s="7"/>
    </row>
    <row r="286" spans="7:7" x14ac:dyDescent="0.2">
      <c r="G286" s="7"/>
    </row>
    <row r="287" spans="7:7" x14ac:dyDescent="0.2">
      <c r="G287" s="7"/>
    </row>
    <row r="288" spans="7:7" x14ac:dyDescent="0.2">
      <c r="G288" s="7"/>
    </row>
    <row r="289" spans="7:7" x14ac:dyDescent="0.2">
      <c r="G289" s="7"/>
    </row>
    <row r="290" spans="7:7" x14ac:dyDescent="0.2">
      <c r="G290" s="7"/>
    </row>
    <row r="291" spans="7:7" x14ac:dyDescent="0.2">
      <c r="G291" s="7"/>
    </row>
    <row r="292" spans="7:7" x14ac:dyDescent="0.2">
      <c r="G292" s="7"/>
    </row>
    <row r="293" spans="7:7" x14ac:dyDescent="0.2">
      <c r="G293" s="7"/>
    </row>
    <row r="294" spans="7:7" x14ac:dyDescent="0.2">
      <c r="G294" s="7"/>
    </row>
    <row r="295" spans="7:7" x14ac:dyDescent="0.2">
      <c r="G295" s="7"/>
    </row>
    <row r="296" spans="7:7" x14ac:dyDescent="0.2">
      <c r="G296" s="7"/>
    </row>
    <row r="297" spans="7:7" x14ac:dyDescent="0.2">
      <c r="G297" s="7"/>
    </row>
    <row r="298" spans="7:7" x14ac:dyDescent="0.2">
      <c r="G298" s="7"/>
    </row>
    <row r="299" spans="7:7" x14ac:dyDescent="0.2">
      <c r="G299" s="7"/>
    </row>
    <row r="300" spans="7:7" x14ac:dyDescent="0.2">
      <c r="G300" s="7"/>
    </row>
    <row r="301" spans="7:7" x14ac:dyDescent="0.2">
      <c r="G301" s="7"/>
    </row>
    <row r="302" spans="7:7" x14ac:dyDescent="0.2">
      <c r="G302" s="7"/>
    </row>
    <row r="303" spans="7:7" x14ac:dyDescent="0.2">
      <c r="G303" s="7"/>
    </row>
    <row r="304" spans="7:7" x14ac:dyDescent="0.2">
      <c r="G304" s="7"/>
    </row>
    <row r="305" spans="7:7" x14ac:dyDescent="0.2">
      <c r="G305" s="7"/>
    </row>
    <row r="306" spans="7:7" x14ac:dyDescent="0.2">
      <c r="G306" s="7"/>
    </row>
    <row r="307" spans="7:7" x14ac:dyDescent="0.2">
      <c r="G307" s="7"/>
    </row>
    <row r="308" spans="7:7" x14ac:dyDescent="0.2">
      <c r="G308" s="7"/>
    </row>
    <row r="309" spans="7:7" x14ac:dyDescent="0.2">
      <c r="G309" s="7"/>
    </row>
    <row r="310" spans="7:7" x14ac:dyDescent="0.2">
      <c r="G310" s="7"/>
    </row>
    <row r="311" spans="7:7" x14ac:dyDescent="0.2">
      <c r="G311" s="7"/>
    </row>
    <row r="312" spans="7:7" x14ac:dyDescent="0.2">
      <c r="G312" s="7"/>
    </row>
    <row r="313" spans="7:7" x14ac:dyDescent="0.2">
      <c r="G313" s="7"/>
    </row>
    <row r="314" spans="7:7" x14ac:dyDescent="0.2">
      <c r="G314" s="7"/>
    </row>
    <row r="315" spans="7:7" x14ac:dyDescent="0.2">
      <c r="G315" s="7"/>
    </row>
    <row r="316" spans="7:7" x14ac:dyDescent="0.2">
      <c r="G316" s="7"/>
    </row>
    <row r="317" spans="7:7" x14ac:dyDescent="0.2">
      <c r="G317" s="7"/>
    </row>
    <row r="318" spans="7:7" x14ac:dyDescent="0.2">
      <c r="G318" s="7"/>
    </row>
    <row r="319" spans="7:7" x14ac:dyDescent="0.2">
      <c r="G319" s="7"/>
    </row>
    <row r="320" spans="7:7" x14ac:dyDescent="0.2">
      <c r="G320" s="7"/>
    </row>
    <row r="321" spans="7:7" x14ac:dyDescent="0.2">
      <c r="G321" s="7"/>
    </row>
    <row r="322" spans="7:7" x14ac:dyDescent="0.2">
      <c r="G322" s="7"/>
    </row>
    <row r="323" spans="7:7" x14ac:dyDescent="0.2">
      <c r="G323" s="7"/>
    </row>
    <row r="324" spans="7:7" x14ac:dyDescent="0.2">
      <c r="G324" s="7"/>
    </row>
    <row r="325" spans="7:7" x14ac:dyDescent="0.2">
      <c r="G325" s="7"/>
    </row>
    <row r="326" spans="7:7" x14ac:dyDescent="0.2">
      <c r="G326" s="7"/>
    </row>
    <row r="327" spans="7:7" x14ac:dyDescent="0.2">
      <c r="G327" s="7"/>
    </row>
    <row r="328" spans="7:7" x14ac:dyDescent="0.2">
      <c r="G328" s="7"/>
    </row>
    <row r="329" spans="7:7" x14ac:dyDescent="0.2">
      <c r="G329" s="7"/>
    </row>
    <row r="330" spans="7:7" x14ac:dyDescent="0.2">
      <c r="G330" s="7"/>
    </row>
    <row r="331" spans="7:7" x14ac:dyDescent="0.2">
      <c r="G331" s="7"/>
    </row>
    <row r="332" spans="7:7" x14ac:dyDescent="0.2">
      <c r="G332" s="7"/>
    </row>
    <row r="333" spans="7:7" x14ac:dyDescent="0.2">
      <c r="G333" s="7"/>
    </row>
    <row r="334" spans="7:7" x14ac:dyDescent="0.2">
      <c r="G334" s="7"/>
    </row>
    <row r="335" spans="7:7" x14ac:dyDescent="0.2">
      <c r="G335" s="7"/>
    </row>
    <row r="336" spans="7:7" x14ac:dyDescent="0.2">
      <c r="G336" s="7"/>
    </row>
    <row r="337" spans="7:7" x14ac:dyDescent="0.2">
      <c r="G337" s="7"/>
    </row>
    <row r="338" spans="7:7" x14ac:dyDescent="0.2">
      <c r="G338" s="7"/>
    </row>
    <row r="339" spans="7:7" x14ac:dyDescent="0.2">
      <c r="G339" s="7"/>
    </row>
    <row r="340" spans="7:7" x14ac:dyDescent="0.2">
      <c r="G340" s="7"/>
    </row>
    <row r="341" spans="7:7" x14ac:dyDescent="0.2">
      <c r="G341" s="7"/>
    </row>
    <row r="342" spans="7:7" x14ac:dyDescent="0.2">
      <c r="G342" s="7"/>
    </row>
    <row r="343" spans="7:7" x14ac:dyDescent="0.2">
      <c r="G343" s="7"/>
    </row>
    <row r="344" spans="7:7" x14ac:dyDescent="0.2">
      <c r="G344" s="7"/>
    </row>
    <row r="345" spans="7:7" x14ac:dyDescent="0.2">
      <c r="G345" s="7"/>
    </row>
    <row r="346" spans="7:7" x14ac:dyDescent="0.2">
      <c r="G346" s="7"/>
    </row>
    <row r="347" spans="7:7" x14ac:dyDescent="0.2">
      <c r="G347" s="7"/>
    </row>
    <row r="348" spans="7:7" x14ac:dyDescent="0.2">
      <c r="G348" s="7"/>
    </row>
    <row r="349" spans="7:7" x14ac:dyDescent="0.2">
      <c r="G349" s="7"/>
    </row>
    <row r="350" spans="7:7" x14ac:dyDescent="0.2">
      <c r="G350" s="7"/>
    </row>
    <row r="351" spans="7:7" x14ac:dyDescent="0.2">
      <c r="G351" s="7"/>
    </row>
    <row r="352" spans="7:7" x14ac:dyDescent="0.2">
      <c r="G352" s="7"/>
    </row>
    <row r="353" spans="7:7" x14ac:dyDescent="0.2">
      <c r="G353" s="7"/>
    </row>
    <row r="354" spans="7:7" x14ac:dyDescent="0.2">
      <c r="G354" s="7"/>
    </row>
    <row r="355" spans="7:7" x14ac:dyDescent="0.2">
      <c r="G355" s="7"/>
    </row>
    <row r="356" spans="7:7" x14ac:dyDescent="0.2">
      <c r="G356" s="7"/>
    </row>
    <row r="357" spans="7:7" x14ac:dyDescent="0.2">
      <c r="G357" s="7"/>
    </row>
    <row r="358" spans="7:7" x14ac:dyDescent="0.2">
      <c r="G358" s="7"/>
    </row>
    <row r="359" spans="7:7" x14ac:dyDescent="0.2">
      <c r="G359" s="7"/>
    </row>
    <row r="360" spans="7:7" x14ac:dyDescent="0.2">
      <c r="G360" s="7"/>
    </row>
    <row r="361" spans="7:7" x14ac:dyDescent="0.2">
      <c r="G361" s="7"/>
    </row>
    <row r="362" spans="7:7" x14ac:dyDescent="0.2">
      <c r="G362" s="7"/>
    </row>
    <row r="363" spans="7:7" x14ac:dyDescent="0.2">
      <c r="G363" s="7"/>
    </row>
    <row r="364" spans="7:7" x14ac:dyDescent="0.2">
      <c r="G364" s="7"/>
    </row>
    <row r="365" spans="7:7" x14ac:dyDescent="0.2">
      <c r="G365" s="7"/>
    </row>
    <row r="366" spans="7:7" x14ac:dyDescent="0.2">
      <c r="G366" s="7"/>
    </row>
    <row r="367" spans="7:7" x14ac:dyDescent="0.2">
      <c r="G367" s="7"/>
    </row>
    <row r="368" spans="7:7" x14ac:dyDescent="0.2">
      <c r="G368" s="7"/>
    </row>
    <row r="369" spans="7:7" x14ac:dyDescent="0.2">
      <c r="G369" s="7"/>
    </row>
    <row r="370" spans="7:7" x14ac:dyDescent="0.2">
      <c r="G370" s="7"/>
    </row>
    <row r="371" spans="7:7" x14ac:dyDescent="0.2">
      <c r="G371" s="7"/>
    </row>
    <row r="372" spans="7:7" x14ac:dyDescent="0.2">
      <c r="G372" s="7"/>
    </row>
    <row r="373" spans="7:7" x14ac:dyDescent="0.2">
      <c r="G373" s="7"/>
    </row>
    <row r="374" spans="7:7" x14ac:dyDescent="0.2">
      <c r="G374" s="7"/>
    </row>
    <row r="375" spans="7:7" x14ac:dyDescent="0.2">
      <c r="G375" s="7"/>
    </row>
    <row r="376" spans="7:7" x14ac:dyDescent="0.2">
      <c r="G376" s="7"/>
    </row>
    <row r="377" spans="7:7" x14ac:dyDescent="0.2">
      <c r="G377" s="7"/>
    </row>
    <row r="378" spans="7:7" x14ac:dyDescent="0.2">
      <c r="G378" s="7"/>
    </row>
    <row r="379" spans="7:7" x14ac:dyDescent="0.2">
      <c r="G379" s="7"/>
    </row>
    <row r="380" spans="7:7" x14ac:dyDescent="0.2">
      <c r="G380" s="7"/>
    </row>
    <row r="381" spans="7:7" x14ac:dyDescent="0.2">
      <c r="G381" s="7"/>
    </row>
    <row r="382" spans="7:7" x14ac:dyDescent="0.2">
      <c r="G382" s="7"/>
    </row>
    <row r="383" spans="7:7" x14ac:dyDescent="0.2">
      <c r="G383" s="7"/>
    </row>
    <row r="384" spans="7:7" x14ac:dyDescent="0.2">
      <c r="G384" s="7"/>
    </row>
    <row r="385" spans="7:7" x14ac:dyDescent="0.2">
      <c r="G385" s="7"/>
    </row>
    <row r="386" spans="7:7" x14ac:dyDescent="0.2">
      <c r="G386" s="7"/>
    </row>
    <row r="387" spans="7:7" x14ac:dyDescent="0.2">
      <c r="G387" s="7"/>
    </row>
    <row r="388" spans="7:7" x14ac:dyDescent="0.2">
      <c r="G388" s="7"/>
    </row>
    <row r="389" spans="7:7" x14ac:dyDescent="0.2">
      <c r="G389" s="7"/>
    </row>
    <row r="390" spans="7:7" x14ac:dyDescent="0.2">
      <c r="G390" s="7"/>
    </row>
    <row r="391" spans="7:7" x14ac:dyDescent="0.2">
      <c r="G391" s="7"/>
    </row>
    <row r="392" spans="7:7" x14ac:dyDescent="0.2">
      <c r="G392" s="7"/>
    </row>
    <row r="393" spans="7:7" x14ac:dyDescent="0.2">
      <c r="G393" s="7"/>
    </row>
    <row r="394" spans="7:7" x14ac:dyDescent="0.2">
      <c r="G394" s="7"/>
    </row>
    <row r="395" spans="7:7" x14ac:dyDescent="0.2">
      <c r="G395" s="7"/>
    </row>
    <row r="396" spans="7:7" x14ac:dyDescent="0.2">
      <c r="G396" s="7"/>
    </row>
    <row r="397" spans="7:7" x14ac:dyDescent="0.2">
      <c r="G397" s="7"/>
    </row>
    <row r="398" spans="7:7" x14ac:dyDescent="0.2">
      <c r="G398" s="7"/>
    </row>
    <row r="399" spans="7:7" x14ac:dyDescent="0.2">
      <c r="G399" s="7"/>
    </row>
    <row r="400" spans="7:7" x14ac:dyDescent="0.2">
      <c r="G400" s="7"/>
    </row>
    <row r="401" spans="7:7" x14ac:dyDescent="0.2">
      <c r="G401" s="7"/>
    </row>
    <row r="402" spans="7:7" x14ac:dyDescent="0.2">
      <c r="G402" s="7"/>
    </row>
    <row r="403" spans="7:7" x14ac:dyDescent="0.2">
      <c r="G403" s="7"/>
    </row>
    <row r="404" spans="7:7" x14ac:dyDescent="0.2">
      <c r="G404" s="7"/>
    </row>
    <row r="405" spans="7:7" x14ac:dyDescent="0.2">
      <c r="G405" s="7"/>
    </row>
    <row r="406" spans="7:7" x14ac:dyDescent="0.2">
      <c r="G406" s="7"/>
    </row>
    <row r="407" spans="7:7" x14ac:dyDescent="0.2">
      <c r="G407" s="7"/>
    </row>
    <row r="408" spans="7:7" x14ac:dyDescent="0.2">
      <c r="G408" s="7"/>
    </row>
    <row r="409" spans="7:7" x14ac:dyDescent="0.2">
      <c r="G409" s="7"/>
    </row>
    <row r="410" spans="7:7" x14ac:dyDescent="0.2">
      <c r="G410" s="7"/>
    </row>
    <row r="411" spans="7:7" x14ac:dyDescent="0.2">
      <c r="G411" s="7"/>
    </row>
    <row r="412" spans="7:7" x14ac:dyDescent="0.2">
      <c r="G412" s="7"/>
    </row>
    <row r="413" spans="7:7" x14ac:dyDescent="0.2">
      <c r="G413" s="7"/>
    </row>
    <row r="414" spans="7:7" x14ac:dyDescent="0.2">
      <c r="G414" s="7"/>
    </row>
    <row r="415" spans="7:7" x14ac:dyDescent="0.2">
      <c r="G415" s="7"/>
    </row>
    <row r="416" spans="7:7" x14ac:dyDescent="0.2">
      <c r="G416" s="7"/>
    </row>
    <row r="417" spans="7:7" x14ac:dyDescent="0.2">
      <c r="G417" s="7"/>
    </row>
    <row r="418" spans="7:7" x14ac:dyDescent="0.2">
      <c r="G418" s="7"/>
    </row>
    <row r="419" spans="7:7" x14ac:dyDescent="0.2">
      <c r="G419" s="7"/>
    </row>
    <row r="420" spans="7:7" x14ac:dyDescent="0.2">
      <c r="G420" s="7"/>
    </row>
    <row r="421" spans="7:7" x14ac:dyDescent="0.2">
      <c r="G421" s="7"/>
    </row>
    <row r="422" spans="7:7" x14ac:dyDescent="0.2">
      <c r="G422" s="7"/>
    </row>
    <row r="423" spans="7:7" x14ac:dyDescent="0.2">
      <c r="G423" s="7"/>
    </row>
    <row r="424" spans="7:7" x14ac:dyDescent="0.2">
      <c r="G424" s="7"/>
    </row>
    <row r="425" spans="7:7" x14ac:dyDescent="0.2">
      <c r="G425" s="7"/>
    </row>
    <row r="426" spans="7:7" x14ac:dyDescent="0.2">
      <c r="G426" s="7"/>
    </row>
    <row r="427" spans="7:7" x14ac:dyDescent="0.2">
      <c r="G427" s="7"/>
    </row>
    <row r="428" spans="7:7" x14ac:dyDescent="0.2">
      <c r="G428" s="7"/>
    </row>
    <row r="429" spans="7:7" x14ac:dyDescent="0.2">
      <c r="G429" s="7"/>
    </row>
    <row r="430" spans="7:7" x14ac:dyDescent="0.2">
      <c r="G430" s="7"/>
    </row>
    <row r="431" spans="7:7" x14ac:dyDescent="0.2">
      <c r="G431" s="7"/>
    </row>
    <row r="432" spans="7:7" x14ac:dyDescent="0.2">
      <c r="G432" s="7"/>
    </row>
    <row r="433" spans="7:7" x14ac:dyDescent="0.2">
      <c r="G433" s="7"/>
    </row>
    <row r="434" spans="7:7" x14ac:dyDescent="0.2">
      <c r="G434" s="7"/>
    </row>
    <row r="435" spans="7:7" x14ac:dyDescent="0.2">
      <c r="G435" s="7"/>
    </row>
    <row r="436" spans="7:7" x14ac:dyDescent="0.2">
      <c r="G436" s="7"/>
    </row>
    <row r="437" spans="7:7" x14ac:dyDescent="0.2">
      <c r="G437" s="7"/>
    </row>
    <row r="438" spans="7:7" x14ac:dyDescent="0.2">
      <c r="G438" s="7"/>
    </row>
    <row r="439" spans="7:7" x14ac:dyDescent="0.2">
      <c r="G439" s="7"/>
    </row>
    <row r="440" spans="7:7" x14ac:dyDescent="0.2">
      <c r="G440" s="7"/>
    </row>
    <row r="441" spans="7:7" x14ac:dyDescent="0.2">
      <c r="G441" s="7"/>
    </row>
    <row r="442" spans="7:7" x14ac:dyDescent="0.2">
      <c r="G442" s="7"/>
    </row>
    <row r="443" spans="7:7" x14ac:dyDescent="0.2">
      <c r="G443" s="7"/>
    </row>
    <row r="444" spans="7:7" x14ac:dyDescent="0.2">
      <c r="G444" s="7"/>
    </row>
    <row r="445" spans="7:7" x14ac:dyDescent="0.2">
      <c r="G445" s="7"/>
    </row>
    <row r="446" spans="7:7" x14ac:dyDescent="0.2">
      <c r="G446" s="7"/>
    </row>
    <row r="447" spans="7:7" x14ac:dyDescent="0.2">
      <c r="G447" s="7"/>
    </row>
    <row r="448" spans="7:7" x14ac:dyDescent="0.2">
      <c r="G448" s="7"/>
    </row>
    <row r="449" spans="7:7" x14ac:dyDescent="0.2">
      <c r="G449" s="7"/>
    </row>
    <row r="450" spans="7:7" x14ac:dyDescent="0.2">
      <c r="G450" s="7"/>
    </row>
    <row r="451" spans="7:7" x14ac:dyDescent="0.2">
      <c r="G451" s="7"/>
    </row>
    <row r="452" spans="7:7" x14ac:dyDescent="0.2">
      <c r="G452" s="7"/>
    </row>
    <row r="453" spans="7:7" x14ac:dyDescent="0.2">
      <c r="G453" s="7"/>
    </row>
    <row r="454" spans="7:7" x14ac:dyDescent="0.2">
      <c r="G454" s="7"/>
    </row>
    <row r="455" spans="7:7" x14ac:dyDescent="0.2">
      <c r="G455" s="7"/>
    </row>
    <row r="456" spans="7:7" x14ac:dyDescent="0.2">
      <c r="G456" s="7"/>
    </row>
    <row r="457" spans="7:7" x14ac:dyDescent="0.2">
      <c r="G457" s="7"/>
    </row>
    <row r="458" spans="7:7" x14ac:dyDescent="0.2">
      <c r="G458" s="7"/>
    </row>
    <row r="459" spans="7:7" x14ac:dyDescent="0.2">
      <c r="G459" s="7"/>
    </row>
    <row r="460" spans="7:7" x14ac:dyDescent="0.2">
      <c r="G460" s="7"/>
    </row>
    <row r="461" spans="7:7" x14ac:dyDescent="0.2">
      <c r="G461" s="7"/>
    </row>
    <row r="462" spans="7:7" x14ac:dyDescent="0.2">
      <c r="G462" s="7"/>
    </row>
    <row r="463" spans="7:7" x14ac:dyDescent="0.2">
      <c r="G463" s="7"/>
    </row>
    <row r="464" spans="7:7" x14ac:dyDescent="0.2">
      <c r="G464" s="7"/>
    </row>
    <row r="465" spans="7:7" x14ac:dyDescent="0.2">
      <c r="G465" s="7"/>
    </row>
    <row r="466" spans="7:7" x14ac:dyDescent="0.2">
      <c r="G466" s="7"/>
    </row>
    <row r="467" spans="7:7" x14ac:dyDescent="0.2">
      <c r="G467" s="7"/>
    </row>
    <row r="468" spans="7:7" x14ac:dyDescent="0.2">
      <c r="G468" s="7"/>
    </row>
    <row r="469" spans="7:7" x14ac:dyDescent="0.2">
      <c r="G469" s="7"/>
    </row>
    <row r="470" spans="7:7" x14ac:dyDescent="0.2">
      <c r="G470" s="7"/>
    </row>
    <row r="471" spans="7:7" x14ac:dyDescent="0.2">
      <c r="G471" s="7"/>
    </row>
    <row r="472" spans="7:7" x14ac:dyDescent="0.2">
      <c r="G472" s="7"/>
    </row>
    <row r="473" spans="7:7" x14ac:dyDescent="0.2">
      <c r="G473" s="7"/>
    </row>
    <row r="474" spans="7:7" x14ac:dyDescent="0.2">
      <c r="G474" s="7"/>
    </row>
    <row r="475" spans="7:7" x14ac:dyDescent="0.2">
      <c r="G475" s="7"/>
    </row>
    <row r="476" spans="7:7" x14ac:dyDescent="0.2">
      <c r="G476" s="7"/>
    </row>
    <row r="477" spans="7:7" x14ac:dyDescent="0.2">
      <c r="G477" s="7"/>
    </row>
    <row r="478" spans="7:7" x14ac:dyDescent="0.2">
      <c r="G478" s="7"/>
    </row>
    <row r="479" spans="7:7" x14ac:dyDescent="0.2">
      <c r="G479" s="7"/>
    </row>
    <row r="480" spans="7:7" x14ac:dyDescent="0.2">
      <c r="G480" s="7"/>
    </row>
    <row r="481" spans="7:7" x14ac:dyDescent="0.2">
      <c r="G481" s="7"/>
    </row>
    <row r="482" spans="7:7" x14ac:dyDescent="0.2">
      <c r="G482" s="7"/>
    </row>
    <row r="483" spans="7:7" x14ac:dyDescent="0.2">
      <c r="G483" s="7"/>
    </row>
    <row r="484" spans="7:7" x14ac:dyDescent="0.2">
      <c r="G484" s="7"/>
    </row>
    <row r="485" spans="7:7" x14ac:dyDescent="0.2">
      <c r="G485" s="7"/>
    </row>
    <row r="486" spans="7:7" x14ac:dyDescent="0.2">
      <c r="G486" s="7"/>
    </row>
    <row r="487" spans="7:7" x14ac:dyDescent="0.2">
      <c r="G487" s="7"/>
    </row>
    <row r="488" spans="7:7" x14ac:dyDescent="0.2">
      <c r="G488" s="7"/>
    </row>
    <row r="489" spans="7:7" x14ac:dyDescent="0.2">
      <c r="G489" s="7"/>
    </row>
    <row r="490" spans="7:7" x14ac:dyDescent="0.2">
      <c r="G490" s="7"/>
    </row>
    <row r="491" spans="7:7" x14ac:dyDescent="0.2">
      <c r="G491" s="7"/>
    </row>
    <row r="492" spans="7:7" x14ac:dyDescent="0.2">
      <c r="G492" s="7"/>
    </row>
    <row r="493" spans="7:7" x14ac:dyDescent="0.2">
      <c r="G493" s="7"/>
    </row>
    <row r="494" spans="7:7" x14ac:dyDescent="0.2">
      <c r="G494" s="7"/>
    </row>
    <row r="495" spans="7:7" x14ac:dyDescent="0.2">
      <c r="G495" s="7"/>
    </row>
    <row r="496" spans="7:7" x14ac:dyDescent="0.2">
      <c r="G496" s="7"/>
    </row>
    <row r="497" spans="7:7" x14ac:dyDescent="0.2">
      <c r="G497" s="7"/>
    </row>
    <row r="498" spans="7:7" x14ac:dyDescent="0.2">
      <c r="G498" s="7"/>
    </row>
    <row r="499" spans="7:7" x14ac:dyDescent="0.2">
      <c r="G499" s="7"/>
    </row>
    <row r="500" spans="7:7" x14ac:dyDescent="0.2">
      <c r="G500" s="7"/>
    </row>
    <row r="501" spans="7:7" x14ac:dyDescent="0.2">
      <c r="G501" s="7"/>
    </row>
    <row r="502" spans="7:7" x14ac:dyDescent="0.2">
      <c r="G502" s="7"/>
    </row>
    <row r="503" spans="7:7" x14ac:dyDescent="0.2">
      <c r="G503" s="7"/>
    </row>
    <row r="504" spans="7:7" x14ac:dyDescent="0.2">
      <c r="G504" s="7"/>
    </row>
    <row r="505" spans="7:7" x14ac:dyDescent="0.2">
      <c r="G505" s="7"/>
    </row>
    <row r="506" spans="7:7" x14ac:dyDescent="0.2">
      <c r="G506" s="7"/>
    </row>
    <row r="507" spans="7:7" x14ac:dyDescent="0.2">
      <c r="G507" s="7"/>
    </row>
    <row r="508" spans="7:7" x14ac:dyDescent="0.2">
      <c r="G508" s="7"/>
    </row>
    <row r="509" spans="7:7" x14ac:dyDescent="0.2">
      <c r="G509" s="7"/>
    </row>
    <row r="510" spans="7:7" x14ac:dyDescent="0.2">
      <c r="G510" s="7"/>
    </row>
    <row r="511" spans="7:7" x14ac:dyDescent="0.2">
      <c r="G511" s="7"/>
    </row>
    <row r="512" spans="7:7" x14ac:dyDescent="0.2">
      <c r="G512" s="7"/>
    </row>
    <row r="513" spans="7:7" x14ac:dyDescent="0.2">
      <c r="G513" s="7"/>
    </row>
    <row r="514" spans="7:7" x14ac:dyDescent="0.2">
      <c r="G514" s="7"/>
    </row>
    <row r="515" spans="7:7" x14ac:dyDescent="0.2">
      <c r="G515" s="7"/>
    </row>
    <row r="516" spans="7:7" x14ac:dyDescent="0.2">
      <c r="G516" s="7"/>
    </row>
    <row r="517" spans="7:7" x14ac:dyDescent="0.2">
      <c r="G517" s="7"/>
    </row>
    <row r="518" spans="7:7" x14ac:dyDescent="0.2">
      <c r="G518" s="7"/>
    </row>
    <row r="519" spans="7:7" x14ac:dyDescent="0.2">
      <c r="G519" s="7"/>
    </row>
    <row r="520" spans="7:7" x14ac:dyDescent="0.2">
      <c r="G520" s="7"/>
    </row>
    <row r="521" spans="7:7" x14ac:dyDescent="0.2">
      <c r="G521" s="7"/>
    </row>
    <row r="522" spans="7:7" x14ac:dyDescent="0.2">
      <c r="G522" s="7"/>
    </row>
    <row r="523" spans="7:7" x14ac:dyDescent="0.2">
      <c r="G523" s="7"/>
    </row>
    <row r="524" spans="7:7" x14ac:dyDescent="0.2">
      <c r="G524" s="7"/>
    </row>
    <row r="525" spans="7:7" x14ac:dyDescent="0.2">
      <c r="G525" s="7"/>
    </row>
    <row r="526" spans="7:7" x14ac:dyDescent="0.2">
      <c r="G526" s="7"/>
    </row>
    <row r="527" spans="7:7" x14ac:dyDescent="0.2">
      <c r="G527" s="7"/>
    </row>
    <row r="528" spans="7:7" x14ac:dyDescent="0.2">
      <c r="G528" s="7"/>
    </row>
    <row r="529" spans="7:7" x14ac:dyDescent="0.2">
      <c r="G529" s="7"/>
    </row>
    <row r="530" spans="7:7" x14ac:dyDescent="0.2">
      <c r="G530" s="7"/>
    </row>
    <row r="531" spans="7:7" x14ac:dyDescent="0.2">
      <c r="G531" s="7"/>
    </row>
    <row r="532" spans="7:7" x14ac:dyDescent="0.2">
      <c r="G532" s="7"/>
    </row>
    <row r="533" spans="7:7" x14ac:dyDescent="0.2">
      <c r="G533" s="7"/>
    </row>
    <row r="534" spans="7:7" x14ac:dyDescent="0.2">
      <c r="G534" s="7"/>
    </row>
    <row r="535" spans="7:7" x14ac:dyDescent="0.2">
      <c r="G535" s="7"/>
    </row>
    <row r="536" spans="7:7" x14ac:dyDescent="0.2">
      <c r="G536" s="7"/>
    </row>
    <row r="537" spans="7:7" x14ac:dyDescent="0.2">
      <c r="G537" s="7"/>
    </row>
    <row r="538" spans="7:7" x14ac:dyDescent="0.2">
      <c r="G538" s="7"/>
    </row>
    <row r="539" spans="7:7" x14ac:dyDescent="0.2">
      <c r="G539" s="7"/>
    </row>
    <row r="540" spans="7:7" x14ac:dyDescent="0.2">
      <c r="G540" s="7"/>
    </row>
    <row r="541" spans="7:7" x14ac:dyDescent="0.2">
      <c r="G541" s="7"/>
    </row>
    <row r="542" spans="7:7" x14ac:dyDescent="0.2">
      <c r="G542" s="7"/>
    </row>
    <row r="543" spans="7:7" x14ac:dyDescent="0.2">
      <c r="G543" s="7"/>
    </row>
    <row r="544" spans="7:7" x14ac:dyDescent="0.2">
      <c r="G544" s="7"/>
    </row>
    <row r="545" spans="7:7" x14ac:dyDescent="0.2">
      <c r="G545" s="7"/>
    </row>
    <row r="546" spans="7:7" x14ac:dyDescent="0.2">
      <c r="G546" s="7"/>
    </row>
    <row r="547" spans="7:7" x14ac:dyDescent="0.2">
      <c r="G547" s="7"/>
    </row>
    <row r="548" spans="7:7" x14ac:dyDescent="0.2">
      <c r="G548" s="7"/>
    </row>
    <row r="549" spans="7:7" x14ac:dyDescent="0.2">
      <c r="G549" s="7"/>
    </row>
    <row r="550" spans="7:7" x14ac:dyDescent="0.2">
      <c r="G550" s="7"/>
    </row>
    <row r="551" spans="7:7" x14ac:dyDescent="0.2">
      <c r="G551" s="7"/>
    </row>
    <row r="552" spans="7:7" x14ac:dyDescent="0.2">
      <c r="G552" s="7"/>
    </row>
    <row r="553" spans="7:7" x14ac:dyDescent="0.2">
      <c r="G553" s="7"/>
    </row>
    <row r="554" spans="7:7" x14ac:dyDescent="0.2">
      <c r="G554" s="7"/>
    </row>
    <row r="555" spans="7:7" x14ac:dyDescent="0.2">
      <c r="G555" s="7"/>
    </row>
    <row r="556" spans="7:7" x14ac:dyDescent="0.2">
      <c r="G556" s="7"/>
    </row>
    <row r="557" spans="7:7" x14ac:dyDescent="0.2">
      <c r="G557" s="7"/>
    </row>
    <row r="558" spans="7:7" x14ac:dyDescent="0.2">
      <c r="G558" s="7"/>
    </row>
    <row r="559" spans="7:7" x14ac:dyDescent="0.2">
      <c r="G559" s="7"/>
    </row>
    <row r="560" spans="7:7" x14ac:dyDescent="0.2">
      <c r="G560" s="7"/>
    </row>
    <row r="561" spans="7:7" x14ac:dyDescent="0.2">
      <c r="G561" s="7"/>
    </row>
    <row r="562" spans="7:7" x14ac:dyDescent="0.2">
      <c r="G562" s="7"/>
    </row>
    <row r="563" spans="7:7" x14ac:dyDescent="0.2">
      <c r="G563" s="7"/>
    </row>
    <row r="564" spans="7:7" x14ac:dyDescent="0.2">
      <c r="G564" s="7"/>
    </row>
    <row r="565" spans="7:7" x14ac:dyDescent="0.2">
      <c r="G565" s="7"/>
    </row>
    <row r="566" spans="7:7" x14ac:dyDescent="0.2">
      <c r="G566" s="7"/>
    </row>
    <row r="567" spans="7:7" x14ac:dyDescent="0.2">
      <c r="G567" s="7"/>
    </row>
    <row r="568" spans="7:7" x14ac:dyDescent="0.2">
      <c r="G568" s="7"/>
    </row>
    <row r="569" spans="7:7" x14ac:dyDescent="0.2">
      <c r="G569" s="7"/>
    </row>
    <row r="570" spans="7:7" x14ac:dyDescent="0.2">
      <c r="G570" s="7"/>
    </row>
    <row r="571" spans="7:7" x14ac:dyDescent="0.2">
      <c r="G571" s="7"/>
    </row>
    <row r="572" spans="7:7" x14ac:dyDescent="0.2">
      <c r="G572" s="7"/>
    </row>
    <row r="573" spans="7:7" x14ac:dyDescent="0.2">
      <c r="G573" s="7"/>
    </row>
    <row r="574" spans="7:7" x14ac:dyDescent="0.2">
      <c r="G574" s="7"/>
    </row>
    <row r="575" spans="7:7" x14ac:dyDescent="0.2">
      <c r="G575" s="7"/>
    </row>
    <row r="576" spans="7:7" x14ac:dyDescent="0.2">
      <c r="G576" s="7"/>
    </row>
    <row r="577" spans="7:7" x14ac:dyDescent="0.2">
      <c r="G577" s="7"/>
    </row>
    <row r="578" spans="7:7" x14ac:dyDescent="0.2">
      <c r="G578" s="7"/>
    </row>
    <row r="579" spans="7:7" x14ac:dyDescent="0.2">
      <c r="G579" s="7"/>
    </row>
    <row r="580" spans="7:7" x14ac:dyDescent="0.2">
      <c r="G580" s="7"/>
    </row>
    <row r="581" spans="7:7" x14ac:dyDescent="0.2">
      <c r="G581" s="7"/>
    </row>
    <row r="582" spans="7:7" x14ac:dyDescent="0.2">
      <c r="G582" s="7"/>
    </row>
    <row r="583" spans="7:7" x14ac:dyDescent="0.2">
      <c r="G583" s="7"/>
    </row>
    <row r="584" spans="7:7" x14ac:dyDescent="0.2">
      <c r="G584" s="7"/>
    </row>
    <row r="585" spans="7:7" x14ac:dyDescent="0.2">
      <c r="G585" s="7"/>
    </row>
    <row r="586" spans="7:7" x14ac:dyDescent="0.2">
      <c r="G586" s="7"/>
    </row>
    <row r="587" spans="7:7" x14ac:dyDescent="0.2">
      <c r="G587" s="7"/>
    </row>
    <row r="588" spans="7:7" x14ac:dyDescent="0.2">
      <c r="G588" s="7"/>
    </row>
    <row r="589" spans="7:7" x14ac:dyDescent="0.2">
      <c r="G589" s="7"/>
    </row>
    <row r="590" spans="7:7" x14ac:dyDescent="0.2">
      <c r="G590" s="7"/>
    </row>
    <row r="591" spans="7:7" x14ac:dyDescent="0.2">
      <c r="G591" s="7"/>
    </row>
    <row r="592" spans="7:7" x14ac:dyDescent="0.2">
      <c r="G592" s="7"/>
    </row>
    <row r="593" spans="7:7" x14ac:dyDescent="0.2">
      <c r="G593" s="7"/>
    </row>
    <row r="594" spans="7:7" x14ac:dyDescent="0.2">
      <c r="G594" s="7"/>
    </row>
    <row r="595" spans="7:7" x14ac:dyDescent="0.2">
      <c r="G595" s="7"/>
    </row>
    <row r="596" spans="7:7" x14ac:dyDescent="0.2">
      <c r="G596" s="7"/>
    </row>
    <row r="597" spans="7:7" x14ac:dyDescent="0.2">
      <c r="G597" s="7"/>
    </row>
    <row r="598" spans="7:7" x14ac:dyDescent="0.2">
      <c r="G598" s="7"/>
    </row>
    <row r="599" spans="7:7" x14ac:dyDescent="0.2">
      <c r="G599" s="7"/>
    </row>
    <row r="600" spans="7:7" x14ac:dyDescent="0.2">
      <c r="G600" s="7"/>
    </row>
    <row r="601" spans="7:7" x14ac:dyDescent="0.2">
      <c r="G601" s="7"/>
    </row>
    <row r="602" spans="7:7" x14ac:dyDescent="0.2">
      <c r="G602" s="7"/>
    </row>
    <row r="603" spans="7:7" x14ac:dyDescent="0.2">
      <c r="G603" s="7"/>
    </row>
    <row r="604" spans="7:7" x14ac:dyDescent="0.2">
      <c r="G604" s="7"/>
    </row>
    <row r="605" spans="7:7" x14ac:dyDescent="0.2">
      <c r="G605" s="7"/>
    </row>
    <row r="606" spans="7:7" x14ac:dyDescent="0.2">
      <c r="G606" s="7"/>
    </row>
    <row r="607" spans="7:7" x14ac:dyDescent="0.2">
      <c r="G607" s="7"/>
    </row>
    <row r="608" spans="7:7" x14ac:dyDescent="0.2">
      <c r="G608" s="7"/>
    </row>
    <row r="609" spans="7:7" x14ac:dyDescent="0.2">
      <c r="G609" s="7"/>
    </row>
    <row r="610" spans="7:7" x14ac:dyDescent="0.2">
      <c r="G610" s="7"/>
    </row>
    <row r="611" spans="7:7" x14ac:dyDescent="0.2">
      <c r="G611" s="7"/>
    </row>
    <row r="612" spans="7:7" x14ac:dyDescent="0.2">
      <c r="G612" s="7"/>
    </row>
    <row r="613" spans="7:7" x14ac:dyDescent="0.2">
      <c r="G613" s="7"/>
    </row>
    <row r="614" spans="7:7" x14ac:dyDescent="0.2">
      <c r="G614" s="7"/>
    </row>
    <row r="615" spans="7:7" x14ac:dyDescent="0.2">
      <c r="G615" s="7"/>
    </row>
    <row r="616" spans="7:7" x14ac:dyDescent="0.2">
      <c r="G616" s="7"/>
    </row>
    <row r="617" spans="7:7" x14ac:dyDescent="0.2">
      <c r="G617" s="7"/>
    </row>
    <row r="618" spans="7:7" x14ac:dyDescent="0.2">
      <c r="G618" s="7"/>
    </row>
    <row r="619" spans="7:7" x14ac:dyDescent="0.2">
      <c r="G619" s="7"/>
    </row>
    <row r="620" spans="7:7" x14ac:dyDescent="0.2">
      <c r="G620" s="7"/>
    </row>
    <row r="621" spans="7:7" x14ac:dyDescent="0.2">
      <c r="G621" s="7"/>
    </row>
    <row r="622" spans="7:7" x14ac:dyDescent="0.2">
      <c r="G622" s="7"/>
    </row>
    <row r="623" spans="7:7" x14ac:dyDescent="0.2">
      <c r="G623" s="7"/>
    </row>
    <row r="624" spans="7:7" x14ac:dyDescent="0.2">
      <c r="G624" s="7"/>
    </row>
    <row r="625" spans="7:7" x14ac:dyDescent="0.2">
      <c r="G625" s="7"/>
    </row>
    <row r="626" spans="7:7" x14ac:dyDescent="0.2">
      <c r="G626" s="7"/>
    </row>
    <row r="627" spans="7:7" x14ac:dyDescent="0.2">
      <c r="G627" s="7"/>
    </row>
    <row r="628" spans="7:7" x14ac:dyDescent="0.2">
      <c r="G628" s="7"/>
    </row>
    <row r="629" spans="7:7" x14ac:dyDescent="0.2">
      <c r="G629" s="7"/>
    </row>
    <row r="630" spans="7:7" x14ac:dyDescent="0.2">
      <c r="G630" s="7"/>
    </row>
    <row r="631" spans="7:7" x14ac:dyDescent="0.2">
      <c r="G631" s="7"/>
    </row>
    <row r="632" spans="7:7" x14ac:dyDescent="0.2">
      <c r="G632" s="7"/>
    </row>
    <row r="633" spans="7:7" x14ac:dyDescent="0.2">
      <c r="G633" s="7"/>
    </row>
    <row r="634" spans="7:7" x14ac:dyDescent="0.2">
      <c r="G634" s="7"/>
    </row>
    <row r="635" spans="7:7" x14ac:dyDescent="0.2">
      <c r="G635" s="7"/>
    </row>
    <row r="636" spans="7:7" x14ac:dyDescent="0.2">
      <c r="G636" s="7"/>
    </row>
    <row r="637" spans="7:7" x14ac:dyDescent="0.2">
      <c r="G637" s="7"/>
    </row>
    <row r="638" spans="7:7" x14ac:dyDescent="0.2">
      <c r="G638" s="7"/>
    </row>
    <row r="639" spans="7:7" x14ac:dyDescent="0.2">
      <c r="G639" s="7"/>
    </row>
    <row r="640" spans="7:7" x14ac:dyDescent="0.2">
      <c r="G640" s="7"/>
    </row>
    <row r="641" spans="7:7" x14ac:dyDescent="0.2">
      <c r="G641" s="7"/>
    </row>
    <row r="642" spans="7:7" x14ac:dyDescent="0.2">
      <c r="G642" s="7"/>
    </row>
    <row r="643" spans="7:7" x14ac:dyDescent="0.2">
      <c r="G643" s="7"/>
    </row>
    <row r="644" spans="7:7" x14ac:dyDescent="0.2">
      <c r="G644" s="7"/>
    </row>
    <row r="645" spans="7:7" x14ac:dyDescent="0.2">
      <c r="G645" s="7"/>
    </row>
    <row r="646" spans="7:7" x14ac:dyDescent="0.2">
      <c r="G646" s="7"/>
    </row>
    <row r="647" spans="7:7" x14ac:dyDescent="0.2">
      <c r="G647" s="7"/>
    </row>
    <row r="648" spans="7:7" x14ac:dyDescent="0.2">
      <c r="G648" s="7"/>
    </row>
    <row r="649" spans="7:7" x14ac:dyDescent="0.2">
      <c r="G649" s="7"/>
    </row>
    <row r="650" spans="7:7" x14ac:dyDescent="0.2">
      <c r="G650" s="7"/>
    </row>
    <row r="651" spans="7:7" x14ac:dyDescent="0.2">
      <c r="G651" s="7"/>
    </row>
    <row r="652" spans="7:7" x14ac:dyDescent="0.2">
      <c r="G652" s="7"/>
    </row>
    <row r="653" spans="7:7" x14ac:dyDescent="0.2">
      <c r="G653" s="7"/>
    </row>
    <row r="654" spans="7:7" x14ac:dyDescent="0.2">
      <c r="G654" s="7"/>
    </row>
    <row r="655" spans="7:7" x14ac:dyDescent="0.2">
      <c r="G655" s="7"/>
    </row>
    <row r="656" spans="7:7" x14ac:dyDescent="0.2">
      <c r="G656" s="7"/>
    </row>
    <row r="657" spans="7:7" x14ac:dyDescent="0.2">
      <c r="G657" s="7"/>
    </row>
    <row r="658" spans="7:7" x14ac:dyDescent="0.2">
      <c r="G658" s="7"/>
    </row>
    <row r="659" spans="7:7" x14ac:dyDescent="0.2">
      <c r="G659" s="7"/>
    </row>
    <row r="660" spans="7:7" x14ac:dyDescent="0.2">
      <c r="G660" s="7"/>
    </row>
    <row r="661" spans="7:7" x14ac:dyDescent="0.2">
      <c r="G661" s="7"/>
    </row>
    <row r="662" spans="7:7" x14ac:dyDescent="0.2">
      <c r="G662" s="7"/>
    </row>
    <row r="663" spans="7:7" x14ac:dyDescent="0.2">
      <c r="G663" s="7"/>
    </row>
    <row r="664" spans="7:7" x14ac:dyDescent="0.2">
      <c r="G664" s="7"/>
    </row>
    <row r="665" spans="7:7" x14ac:dyDescent="0.2">
      <c r="G665" s="7"/>
    </row>
    <row r="666" spans="7:7" x14ac:dyDescent="0.2">
      <c r="G666" s="7"/>
    </row>
    <row r="667" spans="7:7" x14ac:dyDescent="0.2">
      <c r="G667" s="7"/>
    </row>
    <row r="668" spans="7:7" x14ac:dyDescent="0.2">
      <c r="G668" s="7"/>
    </row>
    <row r="669" spans="7:7" x14ac:dyDescent="0.2">
      <c r="G669" s="7"/>
    </row>
    <row r="670" spans="7:7" x14ac:dyDescent="0.2">
      <c r="G670" s="7"/>
    </row>
    <row r="671" spans="7:7" x14ac:dyDescent="0.2">
      <c r="G671" s="7"/>
    </row>
    <row r="672" spans="7:7" x14ac:dyDescent="0.2">
      <c r="G672" s="7"/>
    </row>
    <row r="673" spans="7:7" x14ac:dyDescent="0.2">
      <c r="G673" s="7"/>
    </row>
    <row r="674" spans="7:7" x14ac:dyDescent="0.2">
      <c r="G674" s="7"/>
    </row>
    <row r="675" spans="7:7" x14ac:dyDescent="0.2">
      <c r="G675" s="7"/>
    </row>
    <row r="676" spans="7:7" x14ac:dyDescent="0.2">
      <c r="G676" s="7"/>
    </row>
    <row r="677" spans="7:7" x14ac:dyDescent="0.2">
      <c r="G677" s="7"/>
    </row>
    <row r="678" spans="7:7" x14ac:dyDescent="0.2">
      <c r="G678" s="7"/>
    </row>
    <row r="679" spans="7:7" x14ac:dyDescent="0.2">
      <c r="G679" s="7"/>
    </row>
    <row r="680" spans="7:7" x14ac:dyDescent="0.2">
      <c r="G680" s="7"/>
    </row>
    <row r="681" spans="7:7" x14ac:dyDescent="0.2">
      <c r="G681" s="7"/>
    </row>
    <row r="682" spans="7:7" x14ac:dyDescent="0.2">
      <c r="G682" s="7"/>
    </row>
    <row r="683" spans="7:7" x14ac:dyDescent="0.2">
      <c r="G683" s="7"/>
    </row>
    <row r="684" spans="7:7" x14ac:dyDescent="0.2">
      <c r="G684" s="7"/>
    </row>
    <row r="685" spans="7:7" x14ac:dyDescent="0.2">
      <c r="G685" s="7"/>
    </row>
    <row r="686" spans="7:7" x14ac:dyDescent="0.2">
      <c r="G686" s="7"/>
    </row>
    <row r="687" spans="7:7" x14ac:dyDescent="0.2">
      <c r="G687" s="7"/>
    </row>
    <row r="688" spans="7:7" x14ac:dyDescent="0.2">
      <c r="G688" s="7"/>
    </row>
    <row r="689" spans="7:7" x14ac:dyDescent="0.2">
      <c r="G689" s="7"/>
    </row>
    <row r="690" spans="7:7" x14ac:dyDescent="0.2">
      <c r="G690" s="7"/>
    </row>
    <row r="691" spans="7:7" x14ac:dyDescent="0.2">
      <c r="G691" s="7"/>
    </row>
    <row r="692" spans="7:7" x14ac:dyDescent="0.2">
      <c r="G692" s="7"/>
    </row>
    <row r="693" spans="7:7" x14ac:dyDescent="0.2">
      <c r="G693" s="7"/>
    </row>
    <row r="694" spans="7:7" x14ac:dyDescent="0.2">
      <c r="G694" s="7"/>
    </row>
    <row r="695" spans="7:7" x14ac:dyDescent="0.2">
      <c r="G695" s="7"/>
    </row>
    <row r="696" spans="7:7" x14ac:dyDescent="0.2">
      <c r="G696" s="7"/>
    </row>
    <row r="697" spans="7:7" x14ac:dyDescent="0.2">
      <c r="G697" s="7"/>
    </row>
    <row r="698" spans="7:7" x14ac:dyDescent="0.2">
      <c r="G698" s="7"/>
    </row>
    <row r="699" spans="7:7" x14ac:dyDescent="0.2">
      <c r="G699" s="7"/>
    </row>
    <row r="700" spans="7:7" x14ac:dyDescent="0.2">
      <c r="G700" s="7"/>
    </row>
    <row r="701" spans="7:7" x14ac:dyDescent="0.2">
      <c r="G701" s="7"/>
    </row>
    <row r="702" spans="7:7" x14ac:dyDescent="0.2">
      <c r="G702" s="7"/>
    </row>
    <row r="703" spans="7:7" x14ac:dyDescent="0.2">
      <c r="G703" s="7"/>
    </row>
    <row r="704" spans="7:7" x14ac:dyDescent="0.2">
      <c r="G704" s="7"/>
    </row>
    <row r="705" spans="7:7" x14ac:dyDescent="0.2">
      <c r="G705" s="7"/>
    </row>
    <row r="706" spans="7:7" x14ac:dyDescent="0.2">
      <c r="G706" s="7"/>
    </row>
    <row r="707" spans="7:7" x14ac:dyDescent="0.2">
      <c r="G707" s="7"/>
    </row>
    <row r="708" spans="7:7" x14ac:dyDescent="0.2">
      <c r="G708" s="7"/>
    </row>
    <row r="709" spans="7:7" x14ac:dyDescent="0.2">
      <c r="G709" s="7"/>
    </row>
    <row r="710" spans="7:7" x14ac:dyDescent="0.2">
      <c r="G710" s="7"/>
    </row>
    <row r="711" spans="7:7" x14ac:dyDescent="0.2">
      <c r="G711" s="7"/>
    </row>
    <row r="712" spans="7:7" x14ac:dyDescent="0.2">
      <c r="G712" s="7"/>
    </row>
    <row r="713" spans="7:7" x14ac:dyDescent="0.2">
      <c r="G713" s="7"/>
    </row>
    <row r="714" spans="7:7" x14ac:dyDescent="0.2">
      <c r="G714" s="7"/>
    </row>
    <row r="715" spans="7:7" x14ac:dyDescent="0.2">
      <c r="G715" s="7"/>
    </row>
    <row r="716" spans="7:7" x14ac:dyDescent="0.2">
      <c r="G716" s="7"/>
    </row>
    <row r="717" spans="7:7" x14ac:dyDescent="0.2">
      <c r="G717" s="7"/>
    </row>
    <row r="718" spans="7:7" x14ac:dyDescent="0.2">
      <c r="G718" s="7"/>
    </row>
    <row r="719" spans="7:7" x14ac:dyDescent="0.2">
      <c r="G719" s="7"/>
    </row>
    <row r="720" spans="7:7" x14ac:dyDescent="0.2">
      <c r="G720" s="7"/>
    </row>
    <row r="721" spans="7:7" x14ac:dyDescent="0.2">
      <c r="G721" s="7"/>
    </row>
    <row r="722" spans="7:7" x14ac:dyDescent="0.2">
      <c r="G722" s="7"/>
    </row>
    <row r="723" spans="7:7" x14ac:dyDescent="0.2">
      <c r="G723" s="7"/>
    </row>
    <row r="724" spans="7:7" x14ac:dyDescent="0.2">
      <c r="G724" s="7"/>
    </row>
    <row r="725" spans="7:7" x14ac:dyDescent="0.2">
      <c r="G725" s="7"/>
    </row>
    <row r="726" spans="7:7" x14ac:dyDescent="0.2">
      <c r="G726" s="7"/>
    </row>
    <row r="727" spans="7:7" x14ac:dyDescent="0.2">
      <c r="G727" s="7"/>
    </row>
    <row r="728" spans="7:7" x14ac:dyDescent="0.2">
      <c r="G728" s="7"/>
    </row>
    <row r="729" spans="7:7" x14ac:dyDescent="0.2">
      <c r="G729" s="7"/>
    </row>
    <row r="730" spans="7:7" x14ac:dyDescent="0.2">
      <c r="G730" s="7"/>
    </row>
    <row r="731" spans="7:7" x14ac:dyDescent="0.2">
      <c r="G731" s="7"/>
    </row>
    <row r="732" spans="7:7" x14ac:dyDescent="0.2">
      <c r="G732" s="7"/>
    </row>
    <row r="733" spans="7:7" x14ac:dyDescent="0.2">
      <c r="G733" s="7"/>
    </row>
    <row r="734" spans="7:7" x14ac:dyDescent="0.2">
      <c r="G734" s="7"/>
    </row>
    <row r="735" spans="7:7" x14ac:dyDescent="0.2">
      <c r="G735" s="7"/>
    </row>
    <row r="736" spans="7:7" x14ac:dyDescent="0.2">
      <c r="G736" s="7"/>
    </row>
    <row r="737" spans="7:7" x14ac:dyDescent="0.2">
      <c r="G737" s="7"/>
    </row>
    <row r="738" spans="7:7" x14ac:dyDescent="0.2">
      <c r="G738" s="7"/>
    </row>
    <row r="739" spans="7:7" x14ac:dyDescent="0.2">
      <c r="G739" s="7"/>
    </row>
    <row r="740" spans="7:7" x14ac:dyDescent="0.2">
      <c r="G740" s="7"/>
    </row>
    <row r="741" spans="7:7" x14ac:dyDescent="0.2">
      <c r="G741" s="7"/>
    </row>
    <row r="742" spans="7:7" x14ac:dyDescent="0.2">
      <c r="G742" s="7"/>
    </row>
    <row r="743" spans="7:7" x14ac:dyDescent="0.2">
      <c r="G743" s="7"/>
    </row>
    <row r="744" spans="7:7" x14ac:dyDescent="0.2">
      <c r="G744" s="7"/>
    </row>
    <row r="745" spans="7:7" x14ac:dyDescent="0.2">
      <c r="G745" s="7"/>
    </row>
    <row r="746" spans="7:7" x14ac:dyDescent="0.2">
      <c r="G746" s="7"/>
    </row>
    <row r="747" spans="7:7" x14ac:dyDescent="0.2">
      <c r="G747" s="7"/>
    </row>
    <row r="748" spans="7:7" x14ac:dyDescent="0.2">
      <c r="G748" s="7"/>
    </row>
    <row r="749" spans="7:7" x14ac:dyDescent="0.2">
      <c r="G749" s="7"/>
    </row>
    <row r="750" spans="7:7" x14ac:dyDescent="0.2">
      <c r="G750" s="7"/>
    </row>
    <row r="751" spans="7:7" x14ac:dyDescent="0.2">
      <c r="G751" s="7"/>
    </row>
    <row r="752" spans="7:7" x14ac:dyDescent="0.2">
      <c r="G752" s="7"/>
    </row>
    <row r="753" spans="7:7" x14ac:dyDescent="0.2">
      <c r="G753" s="7"/>
    </row>
    <row r="754" spans="7:7" x14ac:dyDescent="0.2">
      <c r="G754" s="7"/>
    </row>
    <row r="755" spans="7:7" x14ac:dyDescent="0.2">
      <c r="G755" s="7"/>
    </row>
    <row r="756" spans="7:7" x14ac:dyDescent="0.2">
      <c r="G756" s="7"/>
    </row>
    <row r="757" spans="7:7" x14ac:dyDescent="0.2">
      <c r="G757" s="7"/>
    </row>
    <row r="758" spans="7:7" x14ac:dyDescent="0.2">
      <c r="G758" s="7"/>
    </row>
    <row r="759" spans="7:7" x14ac:dyDescent="0.2">
      <c r="G759" s="7"/>
    </row>
    <row r="760" spans="7:7" x14ac:dyDescent="0.2">
      <c r="G760" s="7"/>
    </row>
    <row r="761" spans="7:7" x14ac:dyDescent="0.2">
      <c r="G761" s="7"/>
    </row>
    <row r="762" spans="7:7" x14ac:dyDescent="0.2">
      <c r="G762" s="7"/>
    </row>
    <row r="763" spans="7:7" x14ac:dyDescent="0.2">
      <c r="G763" s="7"/>
    </row>
    <row r="764" spans="7:7" x14ac:dyDescent="0.2">
      <c r="G764" s="7"/>
    </row>
    <row r="765" spans="7:7" x14ac:dyDescent="0.2">
      <c r="G765" s="7"/>
    </row>
    <row r="766" spans="7:7" x14ac:dyDescent="0.2">
      <c r="G766" s="7"/>
    </row>
    <row r="767" spans="7:7" x14ac:dyDescent="0.2">
      <c r="G767" s="7"/>
    </row>
    <row r="768" spans="7:7" x14ac:dyDescent="0.2">
      <c r="G768" s="7"/>
    </row>
    <row r="769" spans="7:7" x14ac:dyDescent="0.2">
      <c r="G769" s="7"/>
    </row>
    <row r="770" spans="7:7" x14ac:dyDescent="0.2">
      <c r="G770" s="7"/>
    </row>
    <row r="771" spans="7:7" x14ac:dyDescent="0.2">
      <c r="G771" s="7"/>
    </row>
    <row r="772" spans="7:7" x14ac:dyDescent="0.2">
      <c r="G772" s="7"/>
    </row>
    <row r="773" spans="7:7" x14ac:dyDescent="0.2">
      <c r="G773" s="7"/>
    </row>
    <row r="774" spans="7:7" x14ac:dyDescent="0.2">
      <c r="G774" s="7"/>
    </row>
    <row r="775" spans="7:7" x14ac:dyDescent="0.2">
      <c r="G775" s="7"/>
    </row>
    <row r="776" spans="7:7" x14ac:dyDescent="0.2">
      <c r="G776" s="7"/>
    </row>
    <row r="777" spans="7:7" x14ac:dyDescent="0.2">
      <c r="G777" s="7"/>
    </row>
    <row r="778" spans="7:7" x14ac:dyDescent="0.2">
      <c r="G778" s="7"/>
    </row>
    <row r="779" spans="7:7" x14ac:dyDescent="0.2">
      <c r="G779" s="7"/>
    </row>
    <row r="780" spans="7:7" x14ac:dyDescent="0.2">
      <c r="G780" s="7"/>
    </row>
    <row r="781" spans="7:7" x14ac:dyDescent="0.2">
      <c r="G781" s="7"/>
    </row>
    <row r="782" spans="7:7" x14ac:dyDescent="0.2">
      <c r="G782" s="7"/>
    </row>
    <row r="783" spans="7:7" x14ac:dyDescent="0.2">
      <c r="G783" s="7"/>
    </row>
    <row r="784" spans="7:7" x14ac:dyDescent="0.2">
      <c r="G784" s="7"/>
    </row>
    <row r="785" spans="7:7" x14ac:dyDescent="0.2">
      <c r="G785" s="7"/>
    </row>
    <row r="786" spans="7:7" x14ac:dyDescent="0.2">
      <c r="G786" s="7"/>
    </row>
    <row r="787" spans="7:7" x14ac:dyDescent="0.2">
      <c r="G787" s="7"/>
    </row>
    <row r="788" spans="7:7" x14ac:dyDescent="0.2">
      <c r="G788" s="7"/>
    </row>
    <row r="789" spans="7:7" x14ac:dyDescent="0.2">
      <c r="G789" s="7"/>
    </row>
    <row r="790" spans="7:7" x14ac:dyDescent="0.2">
      <c r="G790" s="7"/>
    </row>
    <row r="791" spans="7:7" x14ac:dyDescent="0.2">
      <c r="G791" s="7"/>
    </row>
    <row r="792" spans="7:7" x14ac:dyDescent="0.2">
      <c r="G792" s="7"/>
    </row>
    <row r="793" spans="7:7" x14ac:dyDescent="0.2">
      <c r="G793" s="7"/>
    </row>
    <row r="794" spans="7:7" x14ac:dyDescent="0.2">
      <c r="G794" s="7"/>
    </row>
    <row r="795" spans="7:7" x14ac:dyDescent="0.2">
      <c r="G795" s="7"/>
    </row>
    <row r="796" spans="7:7" x14ac:dyDescent="0.2">
      <c r="G796" s="7"/>
    </row>
    <row r="797" spans="7:7" x14ac:dyDescent="0.2">
      <c r="G797" s="7"/>
    </row>
    <row r="798" spans="7:7" x14ac:dyDescent="0.2">
      <c r="G798" s="7"/>
    </row>
    <row r="799" spans="7:7" x14ac:dyDescent="0.2">
      <c r="G799" s="7"/>
    </row>
    <row r="800" spans="7:7" x14ac:dyDescent="0.2">
      <c r="G800" s="7"/>
    </row>
    <row r="801" spans="7:7" x14ac:dyDescent="0.2">
      <c r="G801" s="7"/>
    </row>
    <row r="802" spans="7:7" x14ac:dyDescent="0.2">
      <c r="G802" s="7"/>
    </row>
    <row r="803" spans="7:7" x14ac:dyDescent="0.2">
      <c r="G803" s="7"/>
    </row>
    <row r="804" spans="7:7" x14ac:dyDescent="0.2">
      <c r="G804" s="7"/>
    </row>
    <row r="805" spans="7:7" x14ac:dyDescent="0.2">
      <c r="G805" s="7"/>
    </row>
    <row r="806" spans="7:7" x14ac:dyDescent="0.2">
      <c r="G806" s="7"/>
    </row>
    <row r="807" spans="7:7" x14ac:dyDescent="0.2">
      <c r="G807" s="7"/>
    </row>
    <row r="808" spans="7:7" x14ac:dyDescent="0.2">
      <c r="G808" s="7"/>
    </row>
    <row r="809" spans="7:7" x14ac:dyDescent="0.2">
      <c r="G809" s="7"/>
    </row>
    <row r="810" spans="7:7" x14ac:dyDescent="0.2">
      <c r="G810" s="7"/>
    </row>
    <row r="811" spans="7:7" x14ac:dyDescent="0.2">
      <c r="G811" s="7"/>
    </row>
    <row r="812" spans="7:7" x14ac:dyDescent="0.2">
      <c r="G812" s="7"/>
    </row>
    <row r="813" spans="7:7" x14ac:dyDescent="0.2">
      <c r="G813" s="7"/>
    </row>
    <row r="814" spans="7:7" x14ac:dyDescent="0.2">
      <c r="G814" s="7"/>
    </row>
    <row r="815" spans="7:7" x14ac:dyDescent="0.2">
      <c r="G815" s="7"/>
    </row>
    <row r="816" spans="7:7" x14ac:dyDescent="0.2">
      <c r="G816" s="7"/>
    </row>
    <row r="817" spans="7:7" x14ac:dyDescent="0.2">
      <c r="G817" s="7"/>
    </row>
    <row r="818" spans="7:7" x14ac:dyDescent="0.2">
      <c r="G818" s="7"/>
    </row>
    <row r="819" spans="7:7" x14ac:dyDescent="0.2">
      <c r="G819" s="7"/>
    </row>
    <row r="820" spans="7:7" x14ac:dyDescent="0.2">
      <c r="G820" s="7"/>
    </row>
    <row r="821" spans="7:7" x14ac:dyDescent="0.2">
      <c r="G821" s="7"/>
    </row>
    <row r="822" spans="7:7" x14ac:dyDescent="0.2">
      <c r="G822" s="7"/>
    </row>
    <row r="823" spans="7:7" x14ac:dyDescent="0.2">
      <c r="G823" s="7"/>
    </row>
    <row r="824" spans="7:7" x14ac:dyDescent="0.2">
      <c r="G824" s="7"/>
    </row>
    <row r="825" spans="7:7" x14ac:dyDescent="0.2">
      <c r="G825" s="7"/>
    </row>
    <row r="826" spans="7:7" x14ac:dyDescent="0.2">
      <c r="G826" s="7"/>
    </row>
    <row r="827" spans="7:7" x14ac:dyDescent="0.2">
      <c r="G827" s="7"/>
    </row>
    <row r="828" spans="7:7" x14ac:dyDescent="0.2">
      <c r="G828" s="7"/>
    </row>
    <row r="829" spans="7:7" x14ac:dyDescent="0.2">
      <c r="G829" s="7"/>
    </row>
    <row r="830" spans="7:7" x14ac:dyDescent="0.2">
      <c r="G830" s="7"/>
    </row>
    <row r="831" spans="7:7" x14ac:dyDescent="0.2">
      <c r="G831" s="7"/>
    </row>
    <row r="832" spans="7:7" x14ac:dyDescent="0.2">
      <c r="G832" s="7"/>
    </row>
    <row r="833" spans="7:7" x14ac:dyDescent="0.2">
      <c r="G833" s="7"/>
    </row>
    <row r="834" spans="7:7" x14ac:dyDescent="0.2">
      <c r="G834" s="7"/>
    </row>
    <row r="835" spans="7:7" x14ac:dyDescent="0.2">
      <c r="G835" s="7"/>
    </row>
    <row r="836" spans="7:7" x14ac:dyDescent="0.2">
      <c r="G836" s="7"/>
    </row>
    <row r="837" spans="7:7" x14ac:dyDescent="0.2">
      <c r="G837" s="7"/>
    </row>
    <row r="838" spans="7:7" x14ac:dyDescent="0.2">
      <c r="G838" s="7"/>
    </row>
    <row r="839" spans="7:7" x14ac:dyDescent="0.2">
      <c r="G839" s="7"/>
    </row>
    <row r="840" spans="7:7" x14ac:dyDescent="0.2">
      <c r="G840" s="7"/>
    </row>
    <row r="841" spans="7:7" x14ac:dyDescent="0.2">
      <c r="G841" s="7"/>
    </row>
    <row r="842" spans="7:7" x14ac:dyDescent="0.2">
      <c r="G842" s="7"/>
    </row>
    <row r="843" spans="7:7" x14ac:dyDescent="0.2">
      <c r="G843" s="7"/>
    </row>
    <row r="844" spans="7:7" x14ac:dyDescent="0.2">
      <c r="G844" s="7"/>
    </row>
    <row r="845" spans="7:7" x14ac:dyDescent="0.2">
      <c r="G845" s="7"/>
    </row>
    <row r="846" spans="7:7" x14ac:dyDescent="0.2">
      <c r="G846" s="7"/>
    </row>
    <row r="847" spans="7:7" x14ac:dyDescent="0.2">
      <c r="G847" s="7"/>
    </row>
    <row r="848" spans="7:7" x14ac:dyDescent="0.2">
      <c r="G848" s="7"/>
    </row>
    <row r="849" spans="7:7" x14ac:dyDescent="0.2">
      <c r="G849" s="7"/>
    </row>
    <row r="850" spans="7:7" x14ac:dyDescent="0.2">
      <c r="G850" s="7"/>
    </row>
    <row r="851" spans="7:7" x14ac:dyDescent="0.2">
      <c r="G851" s="7"/>
    </row>
    <row r="852" spans="7:7" x14ac:dyDescent="0.2">
      <c r="G852" s="7"/>
    </row>
    <row r="853" spans="7:7" x14ac:dyDescent="0.2">
      <c r="G853" s="7"/>
    </row>
    <row r="854" spans="7:7" x14ac:dyDescent="0.2">
      <c r="G854" s="7"/>
    </row>
    <row r="855" spans="7:7" x14ac:dyDescent="0.2">
      <c r="G855" s="7"/>
    </row>
    <row r="856" spans="7:7" x14ac:dyDescent="0.2">
      <c r="G856" s="7"/>
    </row>
    <row r="857" spans="7:7" x14ac:dyDescent="0.2">
      <c r="G857" s="7"/>
    </row>
    <row r="858" spans="7:7" x14ac:dyDescent="0.2">
      <c r="G858" s="7"/>
    </row>
    <row r="859" spans="7:7" x14ac:dyDescent="0.2">
      <c r="G859" s="7"/>
    </row>
    <row r="860" spans="7:7" x14ac:dyDescent="0.2">
      <c r="G860" s="7"/>
    </row>
    <row r="861" spans="7:7" x14ac:dyDescent="0.2">
      <c r="G861" s="7"/>
    </row>
    <row r="862" spans="7:7" x14ac:dyDescent="0.2">
      <c r="G862" s="7"/>
    </row>
    <row r="863" spans="7:7" x14ac:dyDescent="0.2">
      <c r="G863" s="7"/>
    </row>
    <row r="864" spans="7:7" x14ac:dyDescent="0.2">
      <c r="G864" s="7"/>
    </row>
    <row r="865" spans="7:7" x14ac:dyDescent="0.2">
      <c r="G865" s="7"/>
    </row>
    <row r="866" spans="7:7" x14ac:dyDescent="0.2">
      <c r="G866" s="7"/>
    </row>
    <row r="867" spans="7:7" x14ac:dyDescent="0.2">
      <c r="G867" s="7"/>
    </row>
    <row r="868" spans="7:7" x14ac:dyDescent="0.2">
      <c r="G868" s="7"/>
    </row>
    <row r="869" spans="7:7" x14ac:dyDescent="0.2">
      <c r="G869" s="7"/>
    </row>
    <row r="870" spans="7:7" x14ac:dyDescent="0.2">
      <c r="G870" s="7"/>
    </row>
    <row r="871" spans="7:7" x14ac:dyDescent="0.2">
      <c r="G871" s="7"/>
    </row>
    <row r="872" spans="7:7" x14ac:dyDescent="0.2">
      <c r="G872" s="7"/>
    </row>
    <row r="873" spans="7:7" x14ac:dyDescent="0.2">
      <c r="G873" s="7"/>
    </row>
    <row r="874" spans="7:7" x14ac:dyDescent="0.2">
      <c r="G874" s="7"/>
    </row>
    <row r="875" spans="7:7" x14ac:dyDescent="0.2">
      <c r="G875" s="7"/>
    </row>
    <row r="876" spans="7:7" x14ac:dyDescent="0.2">
      <c r="G876" s="7"/>
    </row>
    <row r="877" spans="7:7" x14ac:dyDescent="0.2">
      <c r="G877" s="7"/>
    </row>
    <row r="878" spans="7:7" x14ac:dyDescent="0.2">
      <c r="G878" s="7"/>
    </row>
    <row r="879" spans="7:7" x14ac:dyDescent="0.2">
      <c r="G879" s="7"/>
    </row>
    <row r="880" spans="7:7" x14ac:dyDescent="0.2">
      <c r="G880" s="7"/>
    </row>
    <row r="881" spans="7:7" x14ac:dyDescent="0.2">
      <c r="G881" s="7"/>
    </row>
    <row r="882" spans="7:7" x14ac:dyDescent="0.2">
      <c r="G882" s="7"/>
    </row>
    <row r="883" spans="7:7" x14ac:dyDescent="0.2">
      <c r="G883" s="7"/>
    </row>
    <row r="884" spans="7:7" x14ac:dyDescent="0.2">
      <c r="G884" s="7"/>
    </row>
    <row r="885" spans="7:7" x14ac:dyDescent="0.2">
      <c r="G885" s="7"/>
    </row>
    <row r="886" spans="7:7" x14ac:dyDescent="0.2">
      <c r="G886" s="7"/>
    </row>
    <row r="887" spans="7:7" x14ac:dyDescent="0.2">
      <c r="G887" s="7"/>
    </row>
    <row r="888" spans="7:7" x14ac:dyDescent="0.2">
      <c r="G888" s="7"/>
    </row>
    <row r="889" spans="7:7" x14ac:dyDescent="0.2">
      <c r="G889" s="7"/>
    </row>
    <row r="890" spans="7:7" x14ac:dyDescent="0.2">
      <c r="G890" s="7"/>
    </row>
    <row r="891" spans="7:7" x14ac:dyDescent="0.2">
      <c r="G891" s="7"/>
    </row>
    <row r="892" spans="7:7" x14ac:dyDescent="0.2">
      <c r="G892" s="7"/>
    </row>
    <row r="893" spans="7:7" x14ac:dyDescent="0.2">
      <c r="G893" s="7"/>
    </row>
    <row r="894" spans="7:7" x14ac:dyDescent="0.2">
      <c r="G894" s="7"/>
    </row>
    <row r="895" spans="7:7" x14ac:dyDescent="0.2">
      <c r="G895" s="7"/>
    </row>
    <row r="896" spans="7:7" x14ac:dyDescent="0.2">
      <c r="G896" s="7"/>
    </row>
  </sheetData>
  <sortState xmlns:xlrd2="http://schemas.microsoft.com/office/spreadsheetml/2017/richdata2" ref="A2:Y31">
    <sortCondition ref="O2:O31"/>
    <sortCondition descending="1" ref="D2:D31"/>
    <sortCondition ref="I2:I31"/>
    <sortCondition ref="H2:H31"/>
    <sortCondition ref="G2:G31"/>
  </sortState>
  <phoneticPr fontId="3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2026-04-30T10:44:05Z</dcterms:modified>
</cp:coreProperties>
</file>