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A30D81E5-2986-A849-8799-9AD51C648F8B}" xr6:coauthVersionLast="47" xr6:coauthVersionMax="47" xr10:uidLastSave="{00000000-0000-0000-0000-000000000000}"/>
  <bookViews>
    <workbookView xWindow="1160" yWindow="500" windowWidth="27640" windowHeight="16280" xr2:uid="{00000000-000D-0000-FFFF-FFFF00000000}"/>
  </bookViews>
  <sheets>
    <sheet name="Taiwan" sheetId="3" r:id="rId1"/>
  </sheets>
  <definedNames>
    <definedName name="_xlnm._FilterDatabase" localSheetId="0" hidden="1">Taiwan!$A$1:$W$73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73" i="3" l="1"/>
  <c r="R71" i="3"/>
  <c r="R70" i="3"/>
  <c r="R69" i="3"/>
  <c r="R68" i="3"/>
  <c r="R67" i="3"/>
  <c r="R66" i="3"/>
  <c r="R65" i="3"/>
  <c r="R63" i="3"/>
  <c r="R62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R2" i="3"/>
</calcChain>
</file>

<file path=xl/sharedStrings.xml><?xml version="1.0" encoding="utf-8"?>
<sst xmlns="http://schemas.openxmlformats.org/spreadsheetml/2006/main" count="783" uniqueCount="217">
  <si>
    <t>Family</t>
  </si>
  <si>
    <t>English Name</t>
  </si>
  <si>
    <t>Scientific_Name</t>
  </si>
  <si>
    <t>Spizixos semitorques</t>
  </si>
  <si>
    <t>Pycnonotus taivanus</t>
  </si>
  <si>
    <t>Hypsipetes leucocephalus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</si>
  <si>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</si>
  <si>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</si>
  <si>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</si>
  <si>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</si>
  <si>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</si>
  <si>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</si>
  <si>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</si>
  <si>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</si>
  <si>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</si>
  <si>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</si>
  <si>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</si>
  <si>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</si>
  <si>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</si>
  <si>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</si>
  <si>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</si>
  <si>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</si>
  <si>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</si>
  <si>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</si>
  <si>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</si>
  <si>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</si>
  <si>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</si>
  <si>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NA</t>
  </si>
  <si>
    <t>Sec_1</t>
  </si>
  <si>
    <t>Pycnonotidae</t>
  </si>
  <si>
    <t>TESRI-8593</t>
  </si>
  <si>
    <t>2002 winter</t>
  </si>
  <si>
    <t>2013/04/19</t>
  </si>
  <si>
    <t>2013/05/13</t>
  </si>
  <si>
    <t>2015/11/18</t>
  </si>
  <si>
    <t>2021/04/14</t>
  </si>
  <si>
    <t>2015/01/14</t>
  </si>
  <si>
    <t xml:space="preserve">NA </t>
  </si>
  <si>
    <t>2021/04/27</t>
  </si>
  <si>
    <t>金崙</t>
  </si>
  <si>
    <t>2013/11/14</t>
  </si>
  <si>
    <t>屏東楓港</t>
  </si>
  <si>
    <t>2013/12/13</t>
  </si>
  <si>
    <t>台東</t>
  </si>
  <si>
    <t>台東金崙</t>
  </si>
  <si>
    <t>屏東枋山溪</t>
  </si>
  <si>
    <t>台東成功鎮</t>
  </si>
  <si>
    <t>長滨國中</t>
  </si>
  <si>
    <t>台東縣成功鎮</t>
  </si>
  <si>
    <t>金蘭台11線 151.4K</t>
  </si>
  <si>
    <t>2019/12/18</t>
  </si>
  <si>
    <t>台東志航</t>
  </si>
  <si>
    <t>屏東</t>
  </si>
  <si>
    <t>2015/11/29</t>
  </si>
  <si>
    <t>瑞穗生態館</t>
  </si>
  <si>
    <t>屏東水塔</t>
  </si>
  <si>
    <t>台東，台19</t>
  </si>
  <si>
    <t>東華大學共同大樓鐡橋</t>
  </si>
  <si>
    <t>花蓮花市園福</t>
  </si>
  <si>
    <t>2014/07/10</t>
  </si>
  <si>
    <t>枋山溪</t>
  </si>
  <si>
    <t>花蓮壽豐</t>
  </si>
  <si>
    <t>壽豐</t>
  </si>
  <si>
    <t>2015/11/30</t>
  </si>
  <si>
    <t>台東池上</t>
  </si>
  <si>
    <t>屏東03688RG</t>
  </si>
  <si>
    <t>中興新村</t>
  </si>
  <si>
    <t>2013/12/20</t>
  </si>
  <si>
    <t>台東新園國小</t>
  </si>
  <si>
    <t>2024/11/18</t>
  </si>
  <si>
    <t>集集</t>
  </si>
  <si>
    <t>120.34301 22.809334</t>
  </si>
  <si>
    <t>淡水遊客中心</t>
  </si>
  <si>
    <t>南投鹿谷永隆村</t>
  </si>
  <si>
    <t>特生中心</t>
  </si>
  <si>
    <t>集集國小</t>
  </si>
  <si>
    <t>香山</t>
  </si>
  <si>
    <t>特生生態園區</t>
  </si>
  <si>
    <t>南投集集</t>
  </si>
  <si>
    <t>cinereicapillus</t>
  </si>
  <si>
    <t>nigerrimus</t>
  </si>
  <si>
    <t>specimen preparation date 2001/06/22</t>
  </si>
  <si>
    <t>specimen preparation date 2003/4/8</t>
  </si>
  <si>
    <t>specimen preparation date 2004/9/21</t>
  </si>
  <si>
    <t>台9線378.4km</t>
  </si>
  <si>
    <t>Taiwan</t>
  </si>
  <si>
    <t>Taiwan Biodiversity Research Institute</t>
  </si>
  <si>
    <t>Stephanie Y Chia</t>
  </si>
  <si>
    <t>TESRI-9648</t>
  </si>
  <si>
    <t>TESRI-8590</t>
  </si>
  <si>
    <t>TESRI-9679</t>
  </si>
  <si>
    <t>TESRI-9675</t>
  </si>
  <si>
    <t>TESRI-1815</t>
  </si>
  <si>
    <t>TESRI-13651</t>
  </si>
  <si>
    <t>TESRI-9828</t>
  </si>
  <si>
    <t>TESRI-399</t>
  </si>
  <si>
    <t>TESRI-13325</t>
  </si>
  <si>
    <t>TESRI-8589</t>
  </si>
  <si>
    <t>TESRI-2592</t>
  </si>
  <si>
    <t>TESRI-13649</t>
  </si>
  <si>
    <t>TESRI-13295</t>
  </si>
  <si>
    <t>TESRI-8877</t>
  </si>
  <si>
    <t>TESRI-8167</t>
  </si>
  <si>
    <t>TESRI-12500</t>
  </si>
  <si>
    <t>TESRI-13326</t>
  </si>
  <si>
    <t>TESRI-12398</t>
  </si>
  <si>
    <t>TESRI-13030</t>
  </si>
  <si>
    <t>TESRI-1799</t>
  </si>
  <si>
    <t>TESRI-1620</t>
  </si>
  <si>
    <t>TESRI-9412</t>
  </si>
  <si>
    <t>TESRI-10312</t>
  </si>
  <si>
    <t>TESRI-8780</t>
  </si>
  <si>
    <t>TESRI-9717</t>
  </si>
  <si>
    <t>TESRI-2801</t>
  </si>
  <si>
    <t>TESRI-15584</t>
  </si>
  <si>
    <t>TESRI-13173</t>
  </si>
  <si>
    <t>TESRI-13792</t>
  </si>
  <si>
    <t>TESRI-8881</t>
  </si>
  <si>
    <t>TESRI-8930</t>
  </si>
  <si>
    <t>TESRI-13302</t>
  </si>
  <si>
    <t>TESRI-8584</t>
  </si>
  <si>
    <t>TESRI-7676</t>
  </si>
  <si>
    <t>TESRI-8897</t>
  </si>
  <si>
    <t>TESRI-8713</t>
  </si>
  <si>
    <t>TESRI-271</t>
  </si>
  <si>
    <t>TESRI-9517</t>
  </si>
  <si>
    <t>TESRI-8570</t>
  </si>
  <si>
    <t>TESRI-9707</t>
  </si>
  <si>
    <t>TESRI-6811</t>
  </si>
  <si>
    <t>TESRI-1100</t>
  </si>
  <si>
    <t>TESRI-3195</t>
  </si>
  <si>
    <t>TESRI-8686</t>
  </si>
  <si>
    <t>TESRI-10394</t>
  </si>
  <si>
    <t>TESRI-15949</t>
  </si>
  <si>
    <t>TESRI-1623</t>
  </si>
  <si>
    <t>TESRI-14558</t>
  </si>
  <si>
    <t>TESRI-10903</t>
  </si>
  <si>
    <t>TESRI-8334</t>
  </si>
  <si>
    <t>TESRI-13899</t>
  </si>
  <si>
    <t>TESRI-6353</t>
  </si>
  <si>
    <t>TESRI-8218</t>
  </si>
  <si>
    <t>TESRI-15889</t>
  </si>
  <si>
    <t>TESRI-14143</t>
  </si>
  <si>
    <t>2022 winter</t>
  </si>
  <si>
    <t>1998 winter</t>
  </si>
  <si>
    <t>2013/04/24</t>
  </si>
  <si>
    <t>2003/07/01</t>
  </si>
  <si>
    <t>2019/03/18</t>
  </si>
  <si>
    <t>2019/05/17</t>
  </si>
  <si>
    <t>2017/10/01</t>
  </si>
  <si>
    <t>2013/06/25</t>
  </si>
  <si>
    <t>2014/03/07</t>
  </si>
  <si>
    <t>2013/06/10</t>
  </si>
  <si>
    <t>2004/06/04</t>
  </si>
  <si>
    <t>2013/07/30</t>
  </si>
  <si>
    <t>2021/04/13</t>
  </si>
  <si>
    <t>2021/12/03</t>
  </si>
  <si>
    <t>2021/04/17</t>
  </si>
  <si>
    <t>2013/05/11</t>
  </si>
  <si>
    <t>2014/05/01</t>
  </si>
  <si>
    <t>2015/01/04</t>
  </si>
  <si>
    <t>2014/02/17</t>
  </si>
  <si>
    <t>2016/06/02</t>
  </si>
  <si>
    <t>2008/08/07</t>
  </si>
  <si>
    <t>2002/03/01</t>
  </si>
  <si>
    <t>2017/01/04</t>
  </si>
  <si>
    <t>2003/04/09</t>
  </si>
  <si>
    <t>2023/01/04</t>
  </si>
  <si>
    <t>2014/06/19</t>
  </si>
  <si>
    <t>2013/04/09</t>
  </si>
  <si>
    <t>2022/01</t>
  </si>
  <si>
    <t>2008/03/26</t>
  </si>
  <si>
    <t>2012/01/11</t>
  </si>
  <si>
    <t>2021/03/19</t>
  </si>
  <si>
    <t>2022/05/25</t>
  </si>
  <si>
    <t>2015/09</t>
  </si>
  <si>
    <t>Academia Sinica Biodiversity Research Museum</t>
  </si>
  <si>
    <t xml:space="preserve"> </t>
  </si>
  <si>
    <t>ASIZA-0001576</t>
  </si>
  <si>
    <t>ASIZA-0000495</t>
  </si>
  <si>
    <t>ASIZA-0000454</t>
  </si>
  <si>
    <t>1994/09/30</t>
  </si>
  <si>
    <t>ASIZA-0000754</t>
  </si>
  <si>
    <t>高雄</t>
  </si>
  <si>
    <t>ASIZA-0000579</t>
  </si>
  <si>
    <t>ASIZA-0000281</t>
  </si>
  <si>
    <t>1992/03/16</t>
  </si>
  <si>
    <t>ASIZA-0000580</t>
  </si>
  <si>
    <t>ASIZA-0000578</t>
  </si>
  <si>
    <t>ASIZA-0000346</t>
  </si>
  <si>
    <t>ASIZA-0000353</t>
  </si>
  <si>
    <t>Ｍ?</t>
  </si>
  <si>
    <t>1998/02/13</t>
  </si>
  <si>
    <t>ASIZA-0000362</t>
  </si>
  <si>
    <t>ASIZA-0000800</t>
  </si>
  <si>
    <t>1993/09/30</t>
  </si>
  <si>
    <t>ASIZA-0000347</t>
  </si>
  <si>
    <t>1994/09/06</t>
  </si>
  <si>
    <t>1994/09/29</t>
  </si>
  <si>
    <t>ASIZA-0000453</t>
  </si>
  <si>
    <t>ASIZA-0001132</t>
  </si>
  <si>
    <t>1998/02/24</t>
  </si>
  <si>
    <t>ASIZA-0000348</t>
  </si>
  <si>
    <t>bill fixed open</t>
  </si>
  <si>
    <t>hybird zone location (with Pycnonotus sinensis)</t>
  </si>
  <si>
    <t>tail damaged. hybird zone location (with Pycnonotus sinensis)</t>
  </si>
  <si>
    <t>台東縣</t>
  </si>
  <si>
    <t>台東縣,卑南鄉,種畜繁殖場</t>
  </si>
  <si>
    <t>台東縣,東河鄉,北源果園</t>
  </si>
  <si>
    <t>台東縣,卑南鄉,畜產試驗所,種畜繁殖埸,後山</t>
  </si>
  <si>
    <t>1998/02/01</t>
  </si>
  <si>
    <t>archieved in 2002/06</t>
  </si>
  <si>
    <t>wing feathers wore out</t>
  </si>
  <si>
    <t>Styan's Bulbul</t>
  </si>
  <si>
    <t>Collared Finchbill</t>
  </si>
  <si>
    <t>Black Bulbul</t>
  </si>
  <si>
    <t>Taitung (Taidong)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</si>
</sst>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  <font>
      <b/>
      <sz val="12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2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4" applyNumberFormat="0" applyAlignment="0" applyProtection="0"/>
    <xf numFmtId="0" fontId="16" fillId="6" borderId="5" applyNumberFormat="0" applyAlignment="0" applyProtection="0"/>
    <xf numFmtId="0" fontId="17" fillId="6" borderId="4" applyNumberFormat="0" applyAlignment="0" applyProtection="0"/>
    <xf numFmtId="0" fontId="18" fillId="0" borderId="6" applyNumberFormat="0" applyFill="0" applyAlignment="0" applyProtection="0"/>
    <xf numFmtId="0" fontId="19" fillId="7" borderId="7" applyNumberFormat="0" applyAlignment="0" applyProtection="0"/>
    <xf numFmtId="0" fontId="20" fillId="0" borderId="0" applyNumberFormat="0" applyFill="0" applyBorder="0" applyAlignment="0" applyProtection="0"/>
    <xf numFmtId="0" fontId="7" fillId="8" borderId="8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23" fillId="32" borderId="0" applyNumberFormat="0" applyBorder="0" applyAlignment="0" applyProtection="0"/>
    <xf numFmtId="0" fontId="24" fillId="0" borderId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7" fillId="0" borderId="0"/>
    <xf numFmtId="0" fontId="28" fillId="0" borderId="0"/>
    <xf numFmtId="0" fontId="29" fillId="0" borderId="0"/>
    <xf numFmtId="0" fontId="30" fillId="0" borderId="0"/>
    <xf numFmtId="0" fontId="28" fillId="0" borderId="0"/>
    <xf numFmtId="0" fontId="28" fillId="0" borderId="0"/>
    <xf numFmtId="0" fontId="30" fillId="0" borderId="0"/>
    <xf numFmtId="0" fontId="28" fillId="0" borderId="0"/>
    <xf numFmtId="0" fontId="3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28" fillId="0" borderId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24" fillId="0" borderId="0"/>
    <xf numFmtId="0" fontId="28" fillId="0" borderId="0"/>
    <xf numFmtId="0" fontId="28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7" fillId="8" borderId="8" applyNumberFormat="0" applyFont="0" applyAlignment="0" applyProtection="0"/>
    <xf numFmtId="0" fontId="28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28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32" fillId="8" borderId="8" applyNumberFormat="0" applyFont="0" applyAlignment="0" applyProtection="0"/>
    <xf numFmtId="0" fontId="7" fillId="8" borderId="8" applyNumberFormat="0" applyFont="0" applyAlignment="0" applyProtection="0"/>
    <xf numFmtId="0" fontId="28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28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28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28" fillId="0" borderId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33" fillId="0" borderId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39" borderId="0" applyNumberFormat="0" applyBorder="0" applyAlignment="0" applyProtection="0"/>
    <xf numFmtId="0" fontId="23" fillId="39" borderId="0" applyNumberFormat="0" applyBorder="0" applyAlignment="0" applyProtection="0"/>
    <xf numFmtId="0" fontId="23" fillId="37" borderId="0" applyNumberFormat="0" applyBorder="0" applyAlignment="0" applyProtection="0"/>
    <xf numFmtId="0" fontId="23" fillId="37" borderId="0" applyNumberFormat="0" applyBorder="0" applyAlignment="0" applyProtection="0"/>
    <xf numFmtId="0" fontId="23" fillId="34" borderId="0" applyNumberFormat="0" applyBorder="0" applyAlignment="0" applyProtection="0"/>
    <xf numFmtId="0" fontId="23" fillId="34" borderId="0" applyNumberFormat="0" applyBorder="0" applyAlignment="0" applyProtection="0"/>
    <xf numFmtId="0" fontId="23" fillId="40" borderId="0" applyNumberFormat="0" applyBorder="0" applyAlignment="0" applyProtection="0"/>
    <xf numFmtId="0" fontId="23" fillId="40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1" borderId="0" applyNumberFormat="0" applyBorder="0" applyAlignment="0" applyProtection="0"/>
    <xf numFmtId="0" fontId="23" fillId="42" borderId="0" applyNumberFormat="0" applyBorder="0" applyAlignment="0" applyProtection="0"/>
    <xf numFmtId="0" fontId="23" fillId="42" borderId="0" applyNumberFormat="0" applyBorder="0" applyAlignment="0" applyProtection="0"/>
    <xf numFmtId="0" fontId="23" fillId="4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7" fillId="3" borderId="0" applyNumberFormat="0" applyBorder="0" applyAlignment="0" applyProtection="0"/>
    <xf numFmtId="0" fontId="37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17" fillId="33" borderId="4" applyNumberFormat="0" applyAlignment="0" applyProtection="0"/>
    <xf numFmtId="0" fontId="17" fillId="33" borderId="4" applyNumberFormat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9" fillId="0" borderId="2" applyNumberFormat="0" applyFill="0" applyAlignment="0" applyProtection="0"/>
    <xf numFmtId="0" fontId="39" fillId="0" borderId="2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6" fillId="39" borderId="0" applyNumberFormat="0" applyBorder="0" applyAlignment="0" applyProtection="0"/>
    <xf numFmtId="0" fontId="14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26" fillId="39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3" fillId="0" borderId="0"/>
    <xf numFmtId="0" fontId="33" fillId="0" borderId="0"/>
    <xf numFmtId="0" fontId="33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32" fillId="35" borderId="8" applyNumberFormat="0" applyFont="0" applyAlignment="0" applyProtection="0"/>
    <xf numFmtId="0" fontId="16" fillId="33" borderId="5" applyNumberFormat="0" applyAlignment="0" applyProtection="0"/>
    <xf numFmtId="0" fontId="16" fillId="33" borderId="5" applyNumberFormat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2" fillId="0" borderId="12" applyNumberFormat="0" applyFill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2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0" borderId="0"/>
    <xf numFmtId="0" fontId="7" fillId="8" borderId="8" applyNumberFormat="0" applyFont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0" borderId="0"/>
    <xf numFmtId="0" fontId="30" fillId="0" borderId="0"/>
    <xf numFmtId="0" fontId="30" fillId="0" borderId="0"/>
    <xf numFmtId="0" fontId="3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28" fillId="0" borderId="0"/>
    <xf numFmtId="0" fontId="28" fillId="0" borderId="0"/>
    <xf numFmtId="0" fontId="28" fillId="0" borderId="0"/>
    <xf numFmtId="0" fontId="40" fillId="0" borderId="0"/>
    <xf numFmtId="0" fontId="28" fillId="0" borderId="0"/>
    <xf numFmtId="0" fontId="28" fillId="0" borderId="0"/>
    <xf numFmtId="0" fontId="28" fillId="0" borderId="0"/>
    <xf numFmtId="0" fontId="24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</cellStyleXfs>
  <cellXfs count="31">
    <xf numFmtId="0" fontId="0" fillId="0" borderId="0" xfId="0"/>
    <xf numFmtId="0" fontId="44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43" fillId="0" borderId="0" xfId="0" applyFont="1" applyAlignment="1">
      <alignment horizontal="right" wrapText="1"/>
    </xf>
    <xf numFmtId="2" fontId="7" fillId="0" borderId="0" xfId="0" applyNumberFormat="1" applyFont="1" applyAlignment="1">
      <alignment horizontal="right" wrapText="1"/>
    </xf>
    <xf numFmtId="0" fontId="27" fillId="0" borderId="0" xfId="0" applyFont="1" applyAlignment="1">
      <alignment horizontal="left" wrapText="1"/>
    </xf>
    <xf numFmtId="0" fontId="27" fillId="0" borderId="0" xfId="42" applyFont="1" applyAlignment="1">
      <alignment horizontal="left" wrapText="1"/>
    </xf>
    <xf numFmtId="0" fontId="41" fillId="0" borderId="0" xfId="46" applyFont="1" applyAlignment="1">
      <alignment horizontal="left" wrapText="1"/>
    </xf>
    <xf numFmtId="0" fontId="27" fillId="0" borderId="0" xfId="46" applyFont="1" applyAlignment="1">
      <alignment horizontal="left" wrapText="1"/>
    </xf>
    <xf numFmtId="0" fontId="31" fillId="0" borderId="0" xfId="46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right" wrapText="1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49" fontId="6" fillId="0" borderId="0" xfId="0" applyNumberFormat="1" applyFont="1" applyAlignment="1">
      <alignment wrapText="1"/>
    </xf>
    <xf numFmtId="0" fontId="6" fillId="0" borderId="0" xfId="0" applyFont="1" applyAlignment="1">
      <alignment horizontal="left" wrapText="1"/>
    </xf>
    <xf numFmtId="49" fontId="0" fillId="0" borderId="0" xfId="0" applyNumberFormat="1" applyAlignment="1">
      <alignment wrapText="1"/>
    </xf>
    <xf numFmtId="0" fontId="7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49" fontId="4" fillId="0" borderId="0" xfId="0" applyNumberFormat="1" applyFont="1" applyAlignment="1">
      <alignment wrapText="1"/>
    </xf>
    <xf numFmtId="2" fontId="4" fillId="0" borderId="0" xfId="0" applyNumberFormat="1" applyFont="1" applyAlignment="1">
      <alignment horizontal="right" wrapText="1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2" fontId="2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D7810-9CCB-FC4F-A416-6112887F4CA1}">
  <dimension ref="A1:X941"/>
  <sheetViews>
    <sheetView tabSelected="1" topLeftCell="C1" zoomScale="120" zoomScaleNormal="120" workbookViewId="0">
      <pane ySplit="1" topLeftCell="A2" activePane="bottomLeft" state="frozen"/>
      <selection pane="bottomLeft" activeCell="H3" sqref="H3"/>
    </sheetView>
  </sheetViews>
  <sheetFormatPr baseColWidth="10" defaultColWidth="8.83203125" defaultRowHeight="15" x14ac:dyDescent="0.2"/>
  <cols>
    <col min="1" max="1" width="8.83203125" style="14"/>
    <col min="2" max="2" width="12.83203125" style="14" bestFit="1" customWidth="1"/>
    <col min="3" max="3" width="16" style="14" bestFit="1" customWidth="1"/>
    <col min="4" max="4" width="23.5" style="14" customWidth="1"/>
    <col min="5" max="5" width="33.1640625" style="14" bestFit="1" customWidth="1"/>
    <col min="6" max="6" width="13.1640625" style="14" bestFit="1" customWidth="1"/>
    <col min="7" max="7" width="13.33203125" style="20" bestFit="1" customWidth="1"/>
    <col min="8" max="8" width="14.83203125" style="14" customWidth="1"/>
    <col min="9" max="9" width="7.6640625" style="14" bestFit="1" customWidth="1"/>
    <col min="10" max="10" width="6.33203125" style="14" bestFit="1" customWidth="1"/>
    <col min="11" max="11" width="8.6640625" style="13" customWidth="1"/>
    <col min="12" max="12" width="8.83203125" style="13" customWidth="1"/>
    <col min="13" max="14" width="9.83203125" style="13" bestFit="1" customWidth="1"/>
    <col min="15" max="15" width="7" style="13" customWidth="1"/>
    <col min="16" max="16" width="7.6640625" style="13" customWidth="1"/>
    <col min="17" max="17" width="6.6640625" style="13" customWidth="1"/>
    <col min="18" max="18" width="6" style="13" bestFit="1" customWidth="1"/>
    <col min="19" max="19" width="8.33203125" style="13" customWidth="1"/>
    <col min="20" max="20" width="8" style="13" customWidth="1"/>
    <col min="21" max="21" width="12" style="14" customWidth="1"/>
    <col min="22" max="22" width="20.5" style="14" bestFit="1" customWidth="1"/>
    <col min="23" max="23" width="14.83203125" style="19" bestFit="1" customWidth="1"/>
    <col min="24" max="24" width="9.1640625" style="13" customWidth="1"/>
    <col min="25" max="16384" width="8.83203125" style="14"/>
  </cols>
  <sheetData>
    <row r="1" spans="1:24" s="10" customFormat="1" ht="53" customHeight="1" x14ac:dyDescent="0.2">
      <c r="A1" s="5" t="s">
        <v>22</v>
      </c>
      <c r="B1" s="6" t="s">
        <v>0</v>
      </c>
      <c r="C1" s="6" t="s">
        <v>1</v>
      </c>
      <c r="D1" s="6" t="s">
        <v>2</v>
      </c>
      <c r="E1" s="7" t="s">
        <v>6</v>
      </c>
      <c r="F1" s="8" t="s">
        <v>23</v>
      </c>
      <c r="G1" s="5" t="s">
        <v>24</v>
      </c>
      <c r="H1" s="7" t="s">
        <v>8</v>
      </c>
      <c r="I1" s="7" t="s">
        <v>9</v>
      </c>
      <c r="J1" s="8" t="s">
        <v>7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21</v>
      </c>
      <c r="P1" s="7" t="s">
        <v>14</v>
      </c>
      <c r="Q1" s="7" t="s">
        <v>16</v>
      </c>
      <c r="R1" s="7" t="s">
        <v>28</v>
      </c>
      <c r="S1" s="7" t="s">
        <v>15</v>
      </c>
      <c r="T1" s="8" t="s">
        <v>17</v>
      </c>
      <c r="U1" s="7" t="s">
        <v>18</v>
      </c>
      <c r="V1" s="7" t="s">
        <v>19</v>
      </c>
      <c r="W1" s="7" t="s">
        <v>20</v>
      </c>
      <c r="X1" s="9"/>
    </row>
    <row r="2" spans="1:24" ht="34" x14ac:dyDescent="0.2">
      <c r="A2" s="21"/>
      <c r="B2" s="21" t="s">
        <v>29</v>
      </c>
      <c r="C2" s="28" t="s">
        <v>213</v>
      </c>
      <c r="D2" s="21" t="s">
        <v>4</v>
      </c>
      <c r="E2" s="21" t="s">
        <v>86</v>
      </c>
      <c r="F2" s="21" t="s">
        <v>30</v>
      </c>
      <c r="G2" s="22" t="s">
        <v>32</v>
      </c>
      <c r="H2" s="30" t="s">
        <v>216</v>
      </c>
      <c r="I2" s="21" t="s">
        <v>85</v>
      </c>
      <c r="J2" s="21" t="s">
        <v>26</v>
      </c>
      <c r="K2" s="23">
        <v>14.92</v>
      </c>
      <c r="L2" s="23">
        <v>9.75</v>
      </c>
      <c r="M2" s="23">
        <v>4.97</v>
      </c>
      <c r="N2" s="23">
        <v>5.14</v>
      </c>
      <c r="O2" s="23">
        <v>10.74</v>
      </c>
      <c r="P2" s="23">
        <v>21.11</v>
      </c>
      <c r="Q2" s="24">
        <v>86</v>
      </c>
      <c r="R2" s="23">
        <f t="shared" ref="R2:R33" si="0">Q2-S2</f>
        <v>75.349999999999994</v>
      </c>
      <c r="S2" s="23">
        <v>10.65</v>
      </c>
      <c r="T2" s="21">
        <v>77</v>
      </c>
      <c r="U2" s="2"/>
      <c r="V2" s="21"/>
      <c r="W2" s="25" t="s">
        <v>87</v>
      </c>
    </row>
    <row r="3" spans="1:24" ht="17" x14ac:dyDescent="0.2">
      <c r="A3" s="21"/>
      <c r="B3" s="21" t="s">
        <v>29</v>
      </c>
      <c r="C3" s="28" t="s">
        <v>213</v>
      </c>
      <c r="D3" s="21" t="s">
        <v>4</v>
      </c>
      <c r="E3" s="21" t="s">
        <v>86</v>
      </c>
      <c r="F3" s="21" t="s">
        <v>88</v>
      </c>
      <c r="G3" s="22" t="s">
        <v>175</v>
      </c>
      <c r="H3" s="21" t="s">
        <v>44</v>
      </c>
      <c r="I3" s="21" t="s">
        <v>85</v>
      </c>
      <c r="J3" s="21" t="s">
        <v>26</v>
      </c>
      <c r="K3" s="23">
        <v>15.57</v>
      </c>
      <c r="L3" s="23">
        <v>9.26</v>
      </c>
      <c r="M3" s="23">
        <v>4.54</v>
      </c>
      <c r="N3" s="23">
        <v>5.05</v>
      </c>
      <c r="O3" s="23">
        <v>10.11</v>
      </c>
      <c r="P3" s="23">
        <v>21.03</v>
      </c>
      <c r="Q3" s="24">
        <v>85</v>
      </c>
      <c r="R3" s="23">
        <f t="shared" si="0"/>
        <v>73.17</v>
      </c>
      <c r="S3" s="23">
        <v>11.83</v>
      </c>
      <c r="T3" s="24">
        <v>79</v>
      </c>
      <c r="U3" s="3"/>
      <c r="V3" s="21"/>
      <c r="W3" s="25" t="s">
        <v>87</v>
      </c>
    </row>
    <row r="4" spans="1:24" ht="17" x14ac:dyDescent="0.2">
      <c r="A4" s="21"/>
      <c r="B4" s="21" t="s">
        <v>29</v>
      </c>
      <c r="C4" s="28" t="s">
        <v>213</v>
      </c>
      <c r="D4" s="21" t="s">
        <v>4</v>
      </c>
      <c r="E4" s="21" t="s">
        <v>86</v>
      </c>
      <c r="F4" s="21" t="s">
        <v>89</v>
      </c>
      <c r="G4" s="22" t="s">
        <v>33</v>
      </c>
      <c r="H4" s="21" t="s">
        <v>43</v>
      </c>
      <c r="I4" s="21" t="s">
        <v>85</v>
      </c>
      <c r="J4" s="21" t="s">
        <v>26</v>
      </c>
      <c r="K4" s="23">
        <v>16.93</v>
      </c>
      <c r="L4" s="23">
        <v>9.18</v>
      </c>
      <c r="M4" s="23">
        <v>4.59</v>
      </c>
      <c r="N4" s="23">
        <v>5.0599999999999996</v>
      </c>
      <c r="O4" s="23">
        <v>10.31</v>
      </c>
      <c r="P4" s="23">
        <v>21.75</v>
      </c>
      <c r="Q4" s="24">
        <v>86</v>
      </c>
      <c r="R4" s="23">
        <f t="shared" si="0"/>
        <v>71.39</v>
      </c>
      <c r="S4" s="23">
        <v>14.61</v>
      </c>
      <c r="T4" s="24">
        <v>77</v>
      </c>
      <c r="U4" s="3"/>
      <c r="V4" s="21"/>
      <c r="W4" s="25" t="s">
        <v>87</v>
      </c>
    </row>
    <row r="5" spans="1:24" ht="17" x14ac:dyDescent="0.2">
      <c r="A5" s="21"/>
      <c r="B5" s="21" t="s">
        <v>29</v>
      </c>
      <c r="C5" s="28" t="s">
        <v>213</v>
      </c>
      <c r="D5" s="21" t="s">
        <v>4</v>
      </c>
      <c r="E5" s="21" t="s">
        <v>86</v>
      </c>
      <c r="F5" s="21" t="s">
        <v>90</v>
      </c>
      <c r="G5" s="22" t="s">
        <v>34</v>
      </c>
      <c r="H5" s="21" t="s">
        <v>61</v>
      </c>
      <c r="I5" s="21" t="s">
        <v>85</v>
      </c>
      <c r="J5" s="21" t="s">
        <v>26</v>
      </c>
      <c r="K5" s="23">
        <v>14.63</v>
      </c>
      <c r="L5" s="23">
        <v>8.7799999999999994</v>
      </c>
      <c r="M5" s="23">
        <v>4.1399999999999997</v>
      </c>
      <c r="N5" s="23">
        <v>4.75</v>
      </c>
      <c r="O5" s="23">
        <v>9.14</v>
      </c>
      <c r="P5" s="23">
        <v>20.14</v>
      </c>
      <c r="Q5" s="24">
        <v>85</v>
      </c>
      <c r="R5" s="23">
        <f t="shared" si="0"/>
        <v>73.02</v>
      </c>
      <c r="S5" s="23">
        <v>11.98</v>
      </c>
      <c r="T5" s="24">
        <v>81</v>
      </c>
      <c r="U5" s="3"/>
      <c r="V5" s="21"/>
      <c r="W5" s="25" t="s">
        <v>87</v>
      </c>
    </row>
    <row r="6" spans="1:24" ht="17" x14ac:dyDescent="0.2">
      <c r="A6" s="21"/>
      <c r="B6" s="21" t="s">
        <v>29</v>
      </c>
      <c r="C6" s="28" t="s">
        <v>213</v>
      </c>
      <c r="D6" s="21" t="s">
        <v>4</v>
      </c>
      <c r="E6" s="21" t="s">
        <v>86</v>
      </c>
      <c r="F6" s="21" t="s">
        <v>91</v>
      </c>
      <c r="G6" s="22" t="s">
        <v>34</v>
      </c>
      <c r="H6" s="21" t="s">
        <v>61</v>
      </c>
      <c r="I6" s="21" t="s">
        <v>85</v>
      </c>
      <c r="J6" s="21" t="s">
        <v>26</v>
      </c>
      <c r="K6" s="23">
        <v>15.37</v>
      </c>
      <c r="L6" s="23">
        <v>9.39</v>
      </c>
      <c r="M6" s="23">
        <v>4.72</v>
      </c>
      <c r="N6" s="23">
        <v>5.03</v>
      </c>
      <c r="O6" s="23">
        <v>9.0399999999999991</v>
      </c>
      <c r="P6" s="23">
        <v>21.68</v>
      </c>
      <c r="Q6" s="24">
        <v>85</v>
      </c>
      <c r="R6" s="23">
        <f t="shared" si="0"/>
        <v>71.930000000000007</v>
      </c>
      <c r="S6" s="23">
        <v>13.07</v>
      </c>
      <c r="T6" s="24">
        <v>79</v>
      </c>
      <c r="U6" s="3"/>
      <c r="V6" s="21"/>
      <c r="W6" s="25" t="s">
        <v>87</v>
      </c>
    </row>
    <row r="7" spans="1:24" ht="17" x14ac:dyDescent="0.2">
      <c r="A7" s="21"/>
      <c r="B7" s="21" t="s">
        <v>29</v>
      </c>
      <c r="C7" s="28" t="s">
        <v>213</v>
      </c>
      <c r="D7" s="21" t="s">
        <v>4</v>
      </c>
      <c r="E7" s="21" t="s">
        <v>86</v>
      </c>
      <c r="F7" s="21" t="s">
        <v>92</v>
      </c>
      <c r="G7" s="22" t="s">
        <v>31</v>
      </c>
      <c r="H7" s="21" t="s">
        <v>43</v>
      </c>
      <c r="I7" s="21" t="s">
        <v>85</v>
      </c>
      <c r="J7" s="21" t="s">
        <v>25</v>
      </c>
      <c r="K7" s="23">
        <v>14.78</v>
      </c>
      <c r="L7" s="23">
        <v>9</v>
      </c>
      <c r="M7" s="23">
        <v>4.1100000000000003</v>
      </c>
      <c r="N7" s="23">
        <v>4.6500000000000004</v>
      </c>
      <c r="O7" s="23">
        <v>9.2100000000000009</v>
      </c>
      <c r="P7" s="23">
        <v>20.27</v>
      </c>
      <c r="Q7" s="24">
        <v>81</v>
      </c>
      <c r="R7" s="23">
        <f t="shared" si="0"/>
        <v>67.960000000000008</v>
      </c>
      <c r="S7" s="23">
        <v>13.04</v>
      </c>
      <c r="T7" s="24">
        <v>80</v>
      </c>
      <c r="U7" s="3"/>
      <c r="V7" s="21"/>
      <c r="W7" s="25" t="s">
        <v>87</v>
      </c>
    </row>
    <row r="8" spans="1:24" ht="51" x14ac:dyDescent="0.2">
      <c r="A8" s="21"/>
      <c r="B8" s="21" t="s">
        <v>29</v>
      </c>
      <c r="C8" s="28" t="s">
        <v>213</v>
      </c>
      <c r="D8" s="21" t="s">
        <v>4</v>
      </c>
      <c r="E8" s="21" t="s">
        <v>86</v>
      </c>
      <c r="F8" s="21" t="s">
        <v>93</v>
      </c>
      <c r="G8" s="22" t="s">
        <v>35</v>
      </c>
      <c r="H8" s="21" t="s">
        <v>45</v>
      </c>
      <c r="I8" s="21" t="s">
        <v>85</v>
      </c>
      <c r="J8" s="21" t="s">
        <v>26</v>
      </c>
      <c r="K8" s="23">
        <v>14.78</v>
      </c>
      <c r="L8" s="23">
        <v>9.24</v>
      </c>
      <c r="M8" s="23">
        <v>4.88</v>
      </c>
      <c r="N8" s="23">
        <v>5.28</v>
      </c>
      <c r="O8" s="23">
        <v>9.86</v>
      </c>
      <c r="P8" s="23">
        <v>20.350000000000001</v>
      </c>
      <c r="Q8" s="24">
        <v>85</v>
      </c>
      <c r="R8" s="23">
        <f t="shared" si="0"/>
        <v>73.17</v>
      </c>
      <c r="S8" s="23">
        <v>11.83</v>
      </c>
      <c r="T8" s="24">
        <v>80</v>
      </c>
      <c r="U8" s="3"/>
      <c r="V8" s="21" t="s">
        <v>204</v>
      </c>
      <c r="W8" s="25" t="s">
        <v>87</v>
      </c>
    </row>
    <row r="9" spans="1:24" ht="17" x14ac:dyDescent="0.2">
      <c r="A9" s="21"/>
      <c r="B9" s="21" t="s">
        <v>29</v>
      </c>
      <c r="C9" s="28" t="s">
        <v>213</v>
      </c>
      <c r="D9" s="21" t="s">
        <v>4</v>
      </c>
      <c r="E9" s="21" t="s">
        <v>86</v>
      </c>
      <c r="F9" s="21" t="s">
        <v>94</v>
      </c>
      <c r="G9" s="22" t="s">
        <v>36</v>
      </c>
      <c r="H9" s="21" t="s">
        <v>43</v>
      </c>
      <c r="I9" s="21" t="s">
        <v>85</v>
      </c>
      <c r="J9" s="21" t="s">
        <v>25</v>
      </c>
      <c r="K9" s="23">
        <v>14.48</v>
      </c>
      <c r="L9" s="23">
        <v>9.11</v>
      </c>
      <c r="M9" s="23">
        <v>4.62</v>
      </c>
      <c r="N9" s="23">
        <v>5.16</v>
      </c>
      <c r="O9" s="23">
        <v>10.06</v>
      </c>
      <c r="P9" s="23">
        <v>20.7</v>
      </c>
      <c r="Q9" s="24">
        <v>80</v>
      </c>
      <c r="R9" s="23">
        <f t="shared" si="0"/>
        <v>70.05</v>
      </c>
      <c r="S9" s="23">
        <v>9.9499999999999993</v>
      </c>
      <c r="T9" s="24">
        <v>76</v>
      </c>
      <c r="U9" s="3"/>
      <c r="V9" s="21"/>
      <c r="W9" s="25" t="s">
        <v>87</v>
      </c>
    </row>
    <row r="10" spans="1:24" ht="34" x14ac:dyDescent="0.2">
      <c r="A10" s="21"/>
      <c r="B10" s="21" t="s">
        <v>29</v>
      </c>
      <c r="C10" s="28" t="s">
        <v>213</v>
      </c>
      <c r="D10" s="21" t="s">
        <v>4</v>
      </c>
      <c r="E10" s="21" t="s">
        <v>86</v>
      </c>
      <c r="F10" s="21" t="s">
        <v>95</v>
      </c>
      <c r="G10" s="22" t="s">
        <v>37</v>
      </c>
      <c r="H10" s="21" t="s">
        <v>43</v>
      </c>
      <c r="I10" s="21" t="s">
        <v>85</v>
      </c>
      <c r="J10" s="21" t="s">
        <v>26</v>
      </c>
      <c r="K10" s="23">
        <v>15.56</v>
      </c>
      <c r="L10" s="23">
        <v>9.39</v>
      </c>
      <c r="M10" s="23">
        <v>4.83</v>
      </c>
      <c r="N10" s="23">
        <v>5.22</v>
      </c>
      <c r="O10" s="23">
        <v>9.51</v>
      </c>
      <c r="P10" s="23">
        <v>21.77</v>
      </c>
      <c r="Q10" s="24">
        <v>86</v>
      </c>
      <c r="R10" s="23">
        <f t="shared" si="0"/>
        <v>71.89</v>
      </c>
      <c r="S10" s="23">
        <v>14.11</v>
      </c>
      <c r="T10" s="21">
        <v>82</v>
      </c>
      <c r="U10" s="2"/>
      <c r="V10" s="21" t="s">
        <v>81</v>
      </c>
      <c r="W10" s="25" t="s">
        <v>87</v>
      </c>
    </row>
    <row r="11" spans="1:24" ht="17" x14ac:dyDescent="0.2">
      <c r="A11" s="21"/>
      <c r="B11" s="21" t="s">
        <v>29</v>
      </c>
      <c r="C11" s="28" t="s">
        <v>213</v>
      </c>
      <c r="D11" s="21" t="s">
        <v>4</v>
      </c>
      <c r="E11" s="21" t="s">
        <v>86</v>
      </c>
      <c r="F11" s="21" t="s">
        <v>96</v>
      </c>
      <c r="G11" s="22" t="s">
        <v>38</v>
      </c>
      <c r="H11" s="21" t="s">
        <v>46</v>
      </c>
      <c r="I11" s="21" t="s">
        <v>85</v>
      </c>
      <c r="J11" s="21" t="s">
        <v>26</v>
      </c>
      <c r="K11" s="23">
        <v>16.28</v>
      </c>
      <c r="L11" s="23">
        <v>9.06</v>
      </c>
      <c r="M11" s="23">
        <v>5.04</v>
      </c>
      <c r="N11" s="23">
        <v>4.59</v>
      </c>
      <c r="O11" s="23">
        <v>10.81</v>
      </c>
      <c r="P11" s="23">
        <v>21.5</v>
      </c>
      <c r="Q11" s="24">
        <v>84</v>
      </c>
      <c r="R11" s="23">
        <f t="shared" si="0"/>
        <v>71.83</v>
      </c>
      <c r="S11" s="23">
        <v>12.17</v>
      </c>
      <c r="T11" s="21">
        <v>78</v>
      </c>
      <c r="U11" s="2"/>
      <c r="V11" s="21"/>
      <c r="W11" s="25" t="s">
        <v>87</v>
      </c>
    </row>
    <row r="12" spans="1:24" ht="17" x14ac:dyDescent="0.2">
      <c r="A12" s="21"/>
      <c r="B12" s="21" t="s">
        <v>29</v>
      </c>
      <c r="C12" s="28" t="s">
        <v>213</v>
      </c>
      <c r="D12" s="21" t="s">
        <v>4</v>
      </c>
      <c r="E12" s="21" t="s">
        <v>86</v>
      </c>
      <c r="F12" s="21" t="s">
        <v>97</v>
      </c>
      <c r="G12" s="22" t="s">
        <v>145</v>
      </c>
      <c r="H12" s="21" t="s">
        <v>43</v>
      </c>
      <c r="I12" s="21" t="s">
        <v>85</v>
      </c>
      <c r="J12" s="21" t="s">
        <v>25</v>
      </c>
      <c r="K12" s="23">
        <v>16.420000000000002</v>
      </c>
      <c r="L12" s="23">
        <v>9.42</v>
      </c>
      <c r="M12" s="23">
        <v>4.45</v>
      </c>
      <c r="N12" s="23">
        <v>4.95</v>
      </c>
      <c r="O12" s="23">
        <v>9.31</v>
      </c>
      <c r="P12" s="23">
        <v>20.94</v>
      </c>
      <c r="Q12" s="24">
        <v>81</v>
      </c>
      <c r="R12" s="23">
        <f t="shared" si="0"/>
        <v>67.680000000000007</v>
      </c>
      <c r="S12" s="23">
        <v>13.32</v>
      </c>
      <c r="T12" s="21">
        <v>72</v>
      </c>
      <c r="U12" s="2"/>
      <c r="V12" s="21"/>
      <c r="W12" s="25" t="s">
        <v>87</v>
      </c>
    </row>
    <row r="13" spans="1:24" ht="17" x14ac:dyDescent="0.2">
      <c r="A13" s="21"/>
      <c r="B13" s="21" t="s">
        <v>29</v>
      </c>
      <c r="C13" s="28" t="s">
        <v>213</v>
      </c>
      <c r="D13" s="21" t="s">
        <v>4</v>
      </c>
      <c r="E13" s="21" t="s">
        <v>86</v>
      </c>
      <c r="F13" s="21" t="s">
        <v>98</v>
      </c>
      <c r="G13" s="22" t="s">
        <v>146</v>
      </c>
      <c r="H13" s="21" t="s">
        <v>47</v>
      </c>
      <c r="I13" s="21" t="s">
        <v>85</v>
      </c>
      <c r="J13" s="21" t="s">
        <v>25</v>
      </c>
      <c r="K13" s="23">
        <v>15.86</v>
      </c>
      <c r="L13" s="23">
        <v>9.57</v>
      </c>
      <c r="M13" s="23">
        <v>4.3099999999999996</v>
      </c>
      <c r="N13" s="23">
        <v>4.71</v>
      </c>
      <c r="O13" s="23">
        <v>10.61</v>
      </c>
      <c r="P13" s="23">
        <v>20.059999999999999</v>
      </c>
      <c r="Q13" s="24">
        <v>83</v>
      </c>
      <c r="R13" s="23">
        <f t="shared" si="0"/>
        <v>69.62</v>
      </c>
      <c r="S13" s="23">
        <v>13.38</v>
      </c>
      <c r="T13" s="21">
        <v>84</v>
      </c>
      <c r="U13" s="2"/>
      <c r="V13" s="21"/>
      <c r="W13" s="25" t="s">
        <v>87</v>
      </c>
    </row>
    <row r="14" spans="1:24" ht="51" x14ac:dyDescent="0.2">
      <c r="A14" s="21"/>
      <c r="B14" s="21" t="s">
        <v>29</v>
      </c>
      <c r="C14" s="28" t="s">
        <v>213</v>
      </c>
      <c r="D14" s="21" t="s">
        <v>4</v>
      </c>
      <c r="E14" s="21" t="s">
        <v>86</v>
      </c>
      <c r="F14" s="21" t="s">
        <v>99</v>
      </c>
      <c r="G14" s="22" t="s">
        <v>35</v>
      </c>
      <c r="H14" s="21" t="s">
        <v>45</v>
      </c>
      <c r="I14" s="21" t="s">
        <v>85</v>
      </c>
      <c r="J14" s="21" t="s">
        <v>26</v>
      </c>
      <c r="K14" s="23">
        <v>15.46</v>
      </c>
      <c r="L14" s="23">
        <v>9.99</v>
      </c>
      <c r="M14" s="23">
        <v>4.3600000000000003</v>
      </c>
      <c r="N14" s="23">
        <v>5.56</v>
      </c>
      <c r="O14" s="23">
        <v>9.89</v>
      </c>
      <c r="P14" s="23">
        <v>21.42</v>
      </c>
      <c r="Q14" s="24">
        <v>87</v>
      </c>
      <c r="R14" s="23">
        <f t="shared" si="0"/>
        <v>73.010000000000005</v>
      </c>
      <c r="S14" s="23">
        <v>13.99</v>
      </c>
      <c r="T14" s="21">
        <v>81</v>
      </c>
      <c r="U14" s="2"/>
      <c r="V14" s="21" t="s">
        <v>204</v>
      </c>
      <c r="W14" s="25" t="s">
        <v>87</v>
      </c>
    </row>
    <row r="15" spans="1:24" ht="17" x14ac:dyDescent="0.2">
      <c r="A15" s="21"/>
      <c r="B15" s="21" t="s">
        <v>29</v>
      </c>
      <c r="C15" s="28" t="s">
        <v>213</v>
      </c>
      <c r="D15" s="21" t="s">
        <v>4</v>
      </c>
      <c r="E15" s="21" t="s">
        <v>86</v>
      </c>
      <c r="F15" s="21" t="s">
        <v>100</v>
      </c>
      <c r="G15" s="22" t="s">
        <v>147</v>
      </c>
      <c r="H15" s="21" t="s">
        <v>39</v>
      </c>
      <c r="I15" s="21" t="s">
        <v>85</v>
      </c>
      <c r="J15" s="21" t="s">
        <v>26</v>
      </c>
      <c r="K15" s="23">
        <v>15.38</v>
      </c>
      <c r="L15" s="23">
        <v>9.59</v>
      </c>
      <c r="M15" s="23">
        <v>4.46</v>
      </c>
      <c r="N15" s="23">
        <v>5.27</v>
      </c>
      <c r="O15" s="23">
        <v>10.47</v>
      </c>
      <c r="P15" s="23">
        <v>19.11</v>
      </c>
      <c r="Q15" s="24">
        <v>88</v>
      </c>
      <c r="R15" s="23">
        <f t="shared" si="0"/>
        <v>72.94</v>
      </c>
      <c r="S15" s="23">
        <v>15.06</v>
      </c>
      <c r="T15" s="21">
        <v>80</v>
      </c>
      <c r="U15" s="2"/>
      <c r="V15" s="21"/>
      <c r="W15" s="25" t="s">
        <v>87</v>
      </c>
    </row>
    <row r="16" spans="1:24" ht="51" x14ac:dyDescent="0.2">
      <c r="A16" s="21"/>
      <c r="B16" s="21" t="s">
        <v>29</v>
      </c>
      <c r="C16" s="28" t="s">
        <v>213</v>
      </c>
      <c r="D16" s="21" t="s">
        <v>4</v>
      </c>
      <c r="E16" s="21" t="s">
        <v>86</v>
      </c>
      <c r="F16" s="21" t="s">
        <v>101</v>
      </c>
      <c r="G16" s="22" t="s">
        <v>40</v>
      </c>
      <c r="H16" s="21" t="s">
        <v>41</v>
      </c>
      <c r="I16" s="21" t="s">
        <v>85</v>
      </c>
      <c r="J16" s="21" t="s">
        <v>26</v>
      </c>
      <c r="K16" s="23">
        <v>15.99</v>
      </c>
      <c r="L16" s="23">
        <v>9.33</v>
      </c>
      <c r="M16" s="23">
        <v>4.43</v>
      </c>
      <c r="N16" s="23">
        <v>5.25</v>
      </c>
      <c r="O16" s="23">
        <v>9.66</v>
      </c>
      <c r="P16" s="23">
        <v>19.850000000000001</v>
      </c>
      <c r="Q16" s="24">
        <v>86</v>
      </c>
      <c r="R16" s="23">
        <f t="shared" si="0"/>
        <v>72.41</v>
      </c>
      <c r="S16" s="23">
        <v>13.59</v>
      </c>
      <c r="T16" s="21">
        <v>81</v>
      </c>
      <c r="U16" s="2"/>
      <c r="V16" s="21" t="s">
        <v>204</v>
      </c>
      <c r="W16" s="25" t="s">
        <v>87</v>
      </c>
    </row>
    <row r="17" spans="1:23" ht="17" x14ac:dyDescent="0.2">
      <c r="A17" s="21"/>
      <c r="B17" s="21" t="s">
        <v>29</v>
      </c>
      <c r="C17" s="28" t="s">
        <v>213</v>
      </c>
      <c r="D17" s="21" t="s">
        <v>4</v>
      </c>
      <c r="E17" s="21" t="s">
        <v>86</v>
      </c>
      <c r="F17" s="21" t="s">
        <v>102</v>
      </c>
      <c r="G17" s="22" t="s">
        <v>42</v>
      </c>
      <c r="H17" s="21" t="s">
        <v>43</v>
      </c>
      <c r="I17" s="21" t="s">
        <v>85</v>
      </c>
      <c r="J17" s="21" t="s">
        <v>25</v>
      </c>
      <c r="K17" s="23">
        <v>15.18</v>
      </c>
      <c r="L17" s="23">
        <v>9.36</v>
      </c>
      <c r="M17" s="23">
        <v>4.68</v>
      </c>
      <c r="N17" s="23">
        <v>5.25</v>
      </c>
      <c r="O17" s="23">
        <v>9.9</v>
      </c>
      <c r="P17" s="23">
        <v>21.02</v>
      </c>
      <c r="Q17" s="24">
        <v>83</v>
      </c>
      <c r="R17" s="23">
        <f t="shared" si="0"/>
        <v>68.67</v>
      </c>
      <c r="S17" s="23">
        <v>14.33</v>
      </c>
      <c r="T17" s="21">
        <v>79</v>
      </c>
      <c r="U17" s="2"/>
      <c r="V17" s="21"/>
      <c r="W17" s="25" t="s">
        <v>87</v>
      </c>
    </row>
    <row r="18" spans="1:23" ht="17" x14ac:dyDescent="0.2">
      <c r="A18" s="21"/>
      <c r="B18" s="21" t="s">
        <v>29</v>
      </c>
      <c r="C18" s="28" t="s">
        <v>213</v>
      </c>
      <c r="D18" s="21" t="s">
        <v>4</v>
      </c>
      <c r="E18" s="21" t="s">
        <v>86</v>
      </c>
      <c r="F18" s="21" t="s">
        <v>103</v>
      </c>
      <c r="G18" s="22" t="s">
        <v>148</v>
      </c>
      <c r="H18" s="21" t="s">
        <v>48</v>
      </c>
      <c r="I18" s="21" t="s">
        <v>85</v>
      </c>
      <c r="J18" s="21" t="s">
        <v>26</v>
      </c>
      <c r="K18" s="23">
        <v>16.54</v>
      </c>
      <c r="L18" s="23">
        <v>9.3000000000000007</v>
      </c>
      <c r="M18" s="23">
        <v>4.4800000000000004</v>
      </c>
      <c r="N18" s="23" t="s">
        <v>27</v>
      </c>
      <c r="O18" s="4">
        <v>10.41</v>
      </c>
      <c r="P18" s="23">
        <v>20.57</v>
      </c>
      <c r="Q18" s="24">
        <v>84</v>
      </c>
      <c r="R18" s="23">
        <f t="shared" si="0"/>
        <v>72.38</v>
      </c>
      <c r="S18" s="23">
        <v>11.62</v>
      </c>
      <c r="T18" s="21">
        <v>83</v>
      </c>
      <c r="U18" s="2"/>
      <c r="V18" s="21" t="s">
        <v>203</v>
      </c>
      <c r="W18" s="25" t="s">
        <v>87</v>
      </c>
    </row>
    <row r="19" spans="1:23" ht="34" x14ac:dyDescent="0.2">
      <c r="A19" s="21"/>
      <c r="B19" s="21" t="s">
        <v>29</v>
      </c>
      <c r="C19" s="28" t="s">
        <v>213</v>
      </c>
      <c r="D19" s="21" t="s">
        <v>4</v>
      </c>
      <c r="E19" s="21" t="s">
        <v>86</v>
      </c>
      <c r="F19" s="21" t="s">
        <v>104</v>
      </c>
      <c r="G19" s="22" t="s">
        <v>38</v>
      </c>
      <c r="H19" s="21" t="s">
        <v>49</v>
      </c>
      <c r="I19" s="21" t="s">
        <v>85</v>
      </c>
      <c r="J19" s="21" t="s">
        <v>25</v>
      </c>
      <c r="K19" s="23">
        <v>15.06</v>
      </c>
      <c r="L19" s="23">
        <v>9.16</v>
      </c>
      <c r="M19" s="23">
        <v>4.5</v>
      </c>
      <c r="N19" s="23">
        <v>5.03</v>
      </c>
      <c r="O19" s="23">
        <v>10.8</v>
      </c>
      <c r="P19" s="23">
        <v>19.97</v>
      </c>
      <c r="Q19" s="24">
        <v>82</v>
      </c>
      <c r="R19" s="23">
        <f t="shared" si="0"/>
        <v>68.849999999999994</v>
      </c>
      <c r="S19" s="23">
        <v>13.15</v>
      </c>
      <c r="T19" s="21">
        <v>81</v>
      </c>
      <c r="U19" s="2"/>
      <c r="V19" s="21"/>
      <c r="W19" s="25" t="s">
        <v>87</v>
      </c>
    </row>
    <row r="20" spans="1:23" ht="17" x14ac:dyDescent="0.2">
      <c r="A20" s="21"/>
      <c r="B20" s="21" t="s">
        <v>29</v>
      </c>
      <c r="C20" s="28" t="s">
        <v>213</v>
      </c>
      <c r="D20" s="21" t="s">
        <v>4</v>
      </c>
      <c r="E20" s="21" t="s">
        <v>86</v>
      </c>
      <c r="F20" s="21" t="s">
        <v>105</v>
      </c>
      <c r="G20" s="22" t="s">
        <v>50</v>
      </c>
      <c r="H20" s="21" t="s">
        <v>62</v>
      </c>
      <c r="I20" s="21" t="s">
        <v>85</v>
      </c>
      <c r="J20" s="21" t="s">
        <v>26</v>
      </c>
      <c r="K20" s="23">
        <v>15.23</v>
      </c>
      <c r="L20" s="23">
        <v>9.24</v>
      </c>
      <c r="M20" s="23">
        <v>4.42</v>
      </c>
      <c r="N20" s="23">
        <v>5.18</v>
      </c>
      <c r="O20" s="23">
        <v>10.039999999999999</v>
      </c>
      <c r="P20" s="23">
        <v>21.6</v>
      </c>
      <c r="Q20" s="24">
        <v>86</v>
      </c>
      <c r="R20" s="23">
        <f t="shared" si="0"/>
        <v>72.39</v>
      </c>
      <c r="S20" s="23">
        <v>13.61</v>
      </c>
      <c r="T20" s="21">
        <v>76</v>
      </c>
      <c r="U20" s="2"/>
      <c r="V20" s="21"/>
      <c r="W20" s="25" t="s">
        <v>87</v>
      </c>
    </row>
    <row r="21" spans="1:23" ht="17" x14ac:dyDescent="0.2">
      <c r="A21" s="21"/>
      <c r="B21" s="21" t="s">
        <v>29</v>
      </c>
      <c r="C21" s="28" t="s">
        <v>213</v>
      </c>
      <c r="D21" s="21" t="s">
        <v>4</v>
      </c>
      <c r="E21" s="21" t="s">
        <v>86</v>
      </c>
      <c r="F21" s="21" t="s">
        <v>106</v>
      </c>
      <c r="G21" s="22" t="s">
        <v>149</v>
      </c>
      <c r="H21" s="21" t="s">
        <v>51</v>
      </c>
      <c r="I21" s="21" t="s">
        <v>85</v>
      </c>
      <c r="J21" s="21" t="s">
        <v>26</v>
      </c>
      <c r="K21" s="23">
        <v>16.440000000000001</v>
      </c>
      <c r="L21" s="23">
        <v>9.84</v>
      </c>
      <c r="M21" s="23">
        <v>4.72</v>
      </c>
      <c r="N21" s="23">
        <v>5.92</v>
      </c>
      <c r="O21" s="23">
        <v>10.82</v>
      </c>
      <c r="P21" s="23">
        <v>20.41</v>
      </c>
      <c r="Q21" s="24">
        <v>85</v>
      </c>
      <c r="R21" s="23">
        <f t="shared" si="0"/>
        <v>69.930000000000007</v>
      </c>
      <c r="S21" s="23">
        <v>15.07</v>
      </c>
      <c r="T21" s="21">
        <v>79</v>
      </c>
      <c r="U21" s="2"/>
      <c r="V21" s="21"/>
      <c r="W21" s="25" t="s">
        <v>87</v>
      </c>
    </row>
    <row r="22" spans="1:23" ht="17" x14ac:dyDescent="0.2">
      <c r="A22" s="21"/>
      <c r="B22" s="21" t="s">
        <v>29</v>
      </c>
      <c r="C22" s="28" t="s">
        <v>213</v>
      </c>
      <c r="D22" s="21" t="s">
        <v>4</v>
      </c>
      <c r="E22" s="21" t="s">
        <v>86</v>
      </c>
      <c r="F22" s="21" t="s">
        <v>107</v>
      </c>
      <c r="G22" s="22" t="s">
        <v>143</v>
      </c>
      <c r="H22" s="21" t="s">
        <v>43</v>
      </c>
      <c r="I22" s="21" t="s">
        <v>85</v>
      </c>
      <c r="J22" s="21" t="s">
        <v>26</v>
      </c>
      <c r="K22" s="23">
        <v>14.69</v>
      </c>
      <c r="L22" s="23">
        <v>8.77</v>
      </c>
      <c r="M22" s="23">
        <v>4.28</v>
      </c>
      <c r="N22" s="23">
        <v>4.5999999999999996</v>
      </c>
      <c r="O22" s="23">
        <v>10.210000000000001</v>
      </c>
      <c r="P22" s="23">
        <v>20.85</v>
      </c>
      <c r="Q22" s="24">
        <v>85</v>
      </c>
      <c r="R22" s="23">
        <f t="shared" si="0"/>
        <v>69.97</v>
      </c>
      <c r="S22" s="23">
        <v>15.03</v>
      </c>
      <c r="T22" s="21">
        <v>81</v>
      </c>
      <c r="U22" s="2"/>
      <c r="V22" s="21"/>
      <c r="W22" s="25" t="s">
        <v>87</v>
      </c>
    </row>
    <row r="23" spans="1:23" ht="34" x14ac:dyDescent="0.2">
      <c r="A23" s="21"/>
      <c r="B23" s="21" t="s">
        <v>29</v>
      </c>
      <c r="C23" s="28" t="s">
        <v>213</v>
      </c>
      <c r="D23" s="21" t="s">
        <v>4</v>
      </c>
      <c r="E23" s="21" t="s">
        <v>86</v>
      </c>
      <c r="F23" s="21" t="s">
        <v>108</v>
      </c>
      <c r="G23" s="21" t="s">
        <v>27</v>
      </c>
      <c r="H23" s="21" t="s">
        <v>27</v>
      </c>
      <c r="I23" s="21" t="s">
        <v>85</v>
      </c>
      <c r="J23" s="21" t="s">
        <v>26</v>
      </c>
      <c r="K23" s="23">
        <v>14.49</v>
      </c>
      <c r="L23" s="23">
        <v>9.42</v>
      </c>
      <c r="M23" s="23">
        <v>4.53</v>
      </c>
      <c r="N23" s="23">
        <v>5.41</v>
      </c>
      <c r="O23" s="23">
        <v>10.08</v>
      </c>
      <c r="P23" s="23">
        <v>21.08</v>
      </c>
      <c r="Q23" s="24">
        <v>84</v>
      </c>
      <c r="R23" s="23">
        <f t="shared" si="0"/>
        <v>70.44</v>
      </c>
      <c r="S23" s="23">
        <v>13.56</v>
      </c>
      <c r="T23" s="21">
        <v>82</v>
      </c>
      <c r="U23" s="2"/>
      <c r="V23" s="21" t="s">
        <v>82</v>
      </c>
      <c r="W23" s="25" t="s">
        <v>87</v>
      </c>
    </row>
    <row r="24" spans="1:23" ht="51" x14ac:dyDescent="0.2">
      <c r="A24" s="21"/>
      <c r="B24" s="21" t="s">
        <v>29</v>
      </c>
      <c r="C24" s="28" t="s">
        <v>213</v>
      </c>
      <c r="D24" s="21" t="s">
        <v>4</v>
      </c>
      <c r="E24" s="21" t="s">
        <v>86</v>
      </c>
      <c r="F24" s="21" t="s">
        <v>109</v>
      </c>
      <c r="G24" s="22" t="s">
        <v>150</v>
      </c>
      <c r="H24" s="21" t="s">
        <v>52</v>
      </c>
      <c r="I24" s="21" t="s">
        <v>85</v>
      </c>
      <c r="J24" s="21" t="s">
        <v>26</v>
      </c>
      <c r="K24" s="23">
        <v>15.2</v>
      </c>
      <c r="L24" s="23">
        <v>9.84</v>
      </c>
      <c r="M24" s="23">
        <v>3.97</v>
      </c>
      <c r="N24" s="23">
        <v>5.58</v>
      </c>
      <c r="O24" s="23">
        <v>11.5</v>
      </c>
      <c r="P24" s="23">
        <v>21.78</v>
      </c>
      <c r="Q24" s="24">
        <v>86</v>
      </c>
      <c r="R24" s="23">
        <f t="shared" si="0"/>
        <v>69.42</v>
      </c>
      <c r="S24" s="23">
        <v>16.579999999999998</v>
      </c>
      <c r="T24" s="21">
        <v>80</v>
      </c>
      <c r="U24" s="2"/>
      <c r="V24" s="1" t="s">
        <v>204</v>
      </c>
      <c r="W24" s="25" t="s">
        <v>87</v>
      </c>
    </row>
    <row r="25" spans="1:23" ht="17" x14ac:dyDescent="0.2">
      <c r="A25" s="21"/>
      <c r="B25" s="21" t="s">
        <v>29</v>
      </c>
      <c r="C25" s="28" t="s">
        <v>213</v>
      </c>
      <c r="D25" s="21" t="s">
        <v>4</v>
      </c>
      <c r="E25" s="21" t="s">
        <v>86</v>
      </c>
      <c r="F25" s="21" t="s">
        <v>110</v>
      </c>
      <c r="G25" s="22" t="s">
        <v>53</v>
      </c>
      <c r="H25" s="21" t="s">
        <v>54</v>
      </c>
      <c r="I25" s="21" t="s">
        <v>85</v>
      </c>
      <c r="J25" s="21" t="s">
        <v>25</v>
      </c>
      <c r="K25" s="23">
        <v>15.05</v>
      </c>
      <c r="L25" s="23">
        <v>8.73</v>
      </c>
      <c r="M25" s="23">
        <v>4.57</v>
      </c>
      <c r="N25" s="23">
        <v>5.36</v>
      </c>
      <c r="O25" s="23">
        <v>10.43</v>
      </c>
      <c r="P25" s="23">
        <v>21.61</v>
      </c>
      <c r="Q25" s="24">
        <v>82</v>
      </c>
      <c r="R25" s="23">
        <f t="shared" si="0"/>
        <v>68.2</v>
      </c>
      <c r="S25" s="23">
        <v>13.8</v>
      </c>
      <c r="T25" s="21">
        <v>79</v>
      </c>
      <c r="U25" s="2"/>
      <c r="V25" s="21"/>
      <c r="W25" s="25" t="s">
        <v>87</v>
      </c>
    </row>
    <row r="26" spans="1:23" ht="51" x14ac:dyDescent="0.2">
      <c r="A26" s="21"/>
      <c r="B26" s="21" t="s">
        <v>29</v>
      </c>
      <c r="C26" s="28" t="s">
        <v>213</v>
      </c>
      <c r="D26" s="21" t="s">
        <v>4</v>
      </c>
      <c r="E26" s="21" t="s">
        <v>86</v>
      </c>
      <c r="F26" s="21" t="s">
        <v>111</v>
      </c>
      <c r="G26" s="22" t="s">
        <v>151</v>
      </c>
      <c r="H26" s="21" t="s">
        <v>55</v>
      </c>
      <c r="I26" s="21" t="s">
        <v>85</v>
      </c>
      <c r="J26" s="21" t="s">
        <v>25</v>
      </c>
      <c r="K26" s="23">
        <v>13.97</v>
      </c>
      <c r="L26" s="23">
        <v>8.75</v>
      </c>
      <c r="M26" s="23">
        <v>4.87</v>
      </c>
      <c r="N26" s="23">
        <v>4.1900000000000004</v>
      </c>
      <c r="O26" s="23">
        <v>10.78</v>
      </c>
      <c r="P26" s="23">
        <v>21.87</v>
      </c>
      <c r="Q26" s="24">
        <v>83</v>
      </c>
      <c r="R26" s="23">
        <f t="shared" si="0"/>
        <v>68.22</v>
      </c>
      <c r="S26" s="23">
        <v>14.78</v>
      </c>
      <c r="T26" s="21">
        <v>77</v>
      </c>
      <c r="U26" s="2"/>
      <c r="V26" s="1" t="s">
        <v>204</v>
      </c>
      <c r="W26" s="25" t="s">
        <v>87</v>
      </c>
    </row>
    <row r="27" spans="1:23" ht="17" x14ac:dyDescent="0.2">
      <c r="A27" s="21"/>
      <c r="B27" s="21" t="s">
        <v>29</v>
      </c>
      <c r="C27" s="28" t="s">
        <v>213</v>
      </c>
      <c r="D27" s="21" t="s">
        <v>4</v>
      </c>
      <c r="E27" s="21" t="s">
        <v>86</v>
      </c>
      <c r="F27" s="21" t="s">
        <v>112</v>
      </c>
      <c r="G27" s="22" t="s">
        <v>152</v>
      </c>
      <c r="H27" s="21" t="s">
        <v>56</v>
      </c>
      <c r="I27" s="21" t="s">
        <v>85</v>
      </c>
      <c r="J27" s="21" t="s">
        <v>25</v>
      </c>
      <c r="K27" s="23">
        <v>15.29</v>
      </c>
      <c r="L27" s="23">
        <v>9.25</v>
      </c>
      <c r="M27" s="23">
        <v>4.21</v>
      </c>
      <c r="N27" s="23">
        <v>4.55</v>
      </c>
      <c r="O27" s="23">
        <v>9.99</v>
      </c>
      <c r="P27" s="23">
        <v>20.14</v>
      </c>
      <c r="Q27" s="24">
        <v>79</v>
      </c>
      <c r="R27" s="23">
        <f t="shared" si="0"/>
        <v>69</v>
      </c>
      <c r="S27" s="23">
        <v>10</v>
      </c>
      <c r="T27" s="21">
        <v>74</v>
      </c>
      <c r="U27" s="2"/>
      <c r="V27" s="21"/>
      <c r="W27" s="25" t="s">
        <v>87</v>
      </c>
    </row>
    <row r="28" spans="1:23" ht="34" x14ac:dyDescent="0.2">
      <c r="A28" s="21"/>
      <c r="B28" s="21" t="s">
        <v>29</v>
      </c>
      <c r="C28" s="28" t="s">
        <v>213</v>
      </c>
      <c r="D28" s="21" t="s">
        <v>4</v>
      </c>
      <c r="E28" s="21" t="s">
        <v>86</v>
      </c>
      <c r="F28" s="21" t="s">
        <v>113</v>
      </c>
      <c r="G28" s="22" t="s">
        <v>153</v>
      </c>
      <c r="H28" s="21" t="s">
        <v>57</v>
      </c>
      <c r="I28" s="21" t="s">
        <v>85</v>
      </c>
      <c r="J28" s="21" t="s">
        <v>25</v>
      </c>
      <c r="K28" s="23">
        <v>15.24</v>
      </c>
      <c r="L28" s="23">
        <v>9.23</v>
      </c>
      <c r="M28" s="29">
        <v>4.91</v>
      </c>
      <c r="N28" s="23">
        <v>4.97</v>
      </c>
      <c r="O28" s="23">
        <v>10.32</v>
      </c>
      <c r="P28" s="23">
        <v>21.54</v>
      </c>
      <c r="Q28" s="24">
        <v>82</v>
      </c>
      <c r="R28" s="23">
        <f t="shared" si="0"/>
        <v>69.28</v>
      </c>
      <c r="S28" s="23">
        <v>12.72</v>
      </c>
      <c r="T28" s="21">
        <v>74</v>
      </c>
      <c r="U28" s="2"/>
      <c r="V28" s="21"/>
      <c r="W28" s="25" t="s">
        <v>87</v>
      </c>
    </row>
    <row r="29" spans="1:23" ht="17" x14ac:dyDescent="0.2">
      <c r="A29" s="21"/>
      <c r="B29" s="21" t="s">
        <v>29</v>
      </c>
      <c r="C29" s="28" t="s">
        <v>213</v>
      </c>
      <c r="D29" s="21" t="s">
        <v>4</v>
      </c>
      <c r="E29" s="21" t="s">
        <v>86</v>
      </c>
      <c r="F29" s="21" t="s">
        <v>114</v>
      </c>
      <c r="G29" s="22" t="s">
        <v>154</v>
      </c>
      <c r="H29" s="21" t="s">
        <v>58</v>
      </c>
      <c r="I29" s="21" t="s">
        <v>85</v>
      </c>
      <c r="J29" s="21" t="s">
        <v>25</v>
      </c>
      <c r="K29" s="23">
        <v>14.2</v>
      </c>
      <c r="L29" s="23">
        <v>8.57</v>
      </c>
      <c r="M29" s="23">
        <v>3.85</v>
      </c>
      <c r="N29" s="23">
        <v>5.0199999999999996</v>
      </c>
      <c r="O29" s="23">
        <v>10.54</v>
      </c>
      <c r="P29" s="23">
        <v>18.61</v>
      </c>
      <c r="Q29" s="24">
        <v>80</v>
      </c>
      <c r="R29" s="23">
        <f t="shared" si="0"/>
        <v>67.08</v>
      </c>
      <c r="S29" s="23">
        <v>12.92</v>
      </c>
      <c r="T29" s="21">
        <v>75</v>
      </c>
      <c r="U29" s="2"/>
      <c r="V29" s="21"/>
      <c r="W29" s="25" t="s">
        <v>87</v>
      </c>
    </row>
    <row r="30" spans="1:23" ht="51" x14ac:dyDescent="0.2">
      <c r="A30" s="21"/>
      <c r="B30" s="21" t="s">
        <v>29</v>
      </c>
      <c r="C30" s="28" t="s">
        <v>213</v>
      </c>
      <c r="D30" s="21" t="s">
        <v>4</v>
      </c>
      <c r="E30" s="21" t="s">
        <v>86</v>
      </c>
      <c r="F30" s="21" t="s">
        <v>115</v>
      </c>
      <c r="G30" s="22" t="s">
        <v>155</v>
      </c>
      <c r="H30" s="21" t="s">
        <v>41</v>
      </c>
      <c r="I30" s="21" t="s">
        <v>85</v>
      </c>
      <c r="J30" s="21" t="s">
        <v>26</v>
      </c>
      <c r="K30" s="23">
        <v>13.9</v>
      </c>
      <c r="L30" s="23">
        <v>9.35</v>
      </c>
      <c r="M30" s="23">
        <v>4.45</v>
      </c>
      <c r="N30" s="23">
        <v>4.83</v>
      </c>
      <c r="O30" s="23">
        <v>10.130000000000001</v>
      </c>
      <c r="P30" s="23">
        <v>19.47</v>
      </c>
      <c r="Q30" s="24">
        <v>85</v>
      </c>
      <c r="R30" s="23">
        <f t="shared" si="0"/>
        <v>72.88</v>
      </c>
      <c r="S30" s="23">
        <v>12.12</v>
      </c>
      <c r="T30" s="21" t="s">
        <v>27</v>
      </c>
      <c r="U30" s="2"/>
      <c r="V30" s="21" t="s">
        <v>205</v>
      </c>
      <c r="W30" s="25" t="s">
        <v>87</v>
      </c>
    </row>
    <row r="31" spans="1:23" ht="17" x14ac:dyDescent="0.2">
      <c r="A31" s="21"/>
      <c r="B31" s="21" t="s">
        <v>29</v>
      </c>
      <c r="C31" s="28" t="s">
        <v>213</v>
      </c>
      <c r="D31" s="21" t="s">
        <v>4</v>
      </c>
      <c r="E31" s="21" t="s">
        <v>86</v>
      </c>
      <c r="F31" s="21" t="s">
        <v>116</v>
      </c>
      <c r="G31" s="22" t="s">
        <v>156</v>
      </c>
      <c r="H31" s="21" t="s">
        <v>44</v>
      </c>
      <c r="I31" s="21" t="s">
        <v>85</v>
      </c>
      <c r="J31" s="21" t="s">
        <v>26</v>
      </c>
      <c r="K31" s="23">
        <v>13.36</v>
      </c>
      <c r="L31" s="23">
        <v>8.92</v>
      </c>
      <c r="M31" s="23">
        <v>4.7699999999999996</v>
      </c>
      <c r="N31" s="23">
        <v>5.53</v>
      </c>
      <c r="O31" s="23">
        <v>10.47</v>
      </c>
      <c r="P31" s="23">
        <v>20.69</v>
      </c>
      <c r="Q31" s="24">
        <v>85</v>
      </c>
      <c r="R31" s="23">
        <f t="shared" si="0"/>
        <v>71.539999999999992</v>
      </c>
      <c r="S31" s="23">
        <v>13.46</v>
      </c>
      <c r="T31" s="21">
        <v>78</v>
      </c>
      <c r="U31" s="2"/>
      <c r="V31" s="21"/>
      <c r="W31" s="25" t="s">
        <v>87</v>
      </c>
    </row>
    <row r="32" spans="1:23" ht="17" x14ac:dyDescent="0.2">
      <c r="A32" s="21"/>
      <c r="B32" s="21" t="s">
        <v>29</v>
      </c>
      <c r="C32" s="28" t="s">
        <v>213</v>
      </c>
      <c r="D32" s="21" t="s">
        <v>4</v>
      </c>
      <c r="E32" s="21" t="s">
        <v>86</v>
      </c>
      <c r="F32" s="21" t="s">
        <v>117</v>
      </c>
      <c r="G32" s="22" t="s">
        <v>59</v>
      </c>
      <c r="H32" s="21" t="s">
        <v>44</v>
      </c>
      <c r="I32" s="21" t="s">
        <v>85</v>
      </c>
      <c r="J32" s="21" t="s">
        <v>25</v>
      </c>
      <c r="K32" s="23">
        <v>15.18</v>
      </c>
      <c r="L32" s="23">
        <v>9.68</v>
      </c>
      <c r="M32" s="23">
        <v>4.8</v>
      </c>
      <c r="N32" s="23">
        <v>5.38</v>
      </c>
      <c r="O32" s="23">
        <v>10.74</v>
      </c>
      <c r="P32" s="23">
        <v>21.58</v>
      </c>
      <c r="Q32" s="24">
        <v>82</v>
      </c>
      <c r="R32" s="23">
        <f t="shared" si="0"/>
        <v>69.510000000000005</v>
      </c>
      <c r="S32" s="23">
        <v>12.49</v>
      </c>
      <c r="T32" s="21">
        <v>77</v>
      </c>
      <c r="U32" s="2"/>
      <c r="V32" s="21"/>
      <c r="W32" s="25" t="s">
        <v>87</v>
      </c>
    </row>
    <row r="33" spans="1:23" ht="17" x14ac:dyDescent="0.2">
      <c r="A33" s="21"/>
      <c r="B33" s="21" t="s">
        <v>29</v>
      </c>
      <c r="C33" s="28" t="s">
        <v>213</v>
      </c>
      <c r="D33" s="21" t="s">
        <v>4</v>
      </c>
      <c r="E33" s="21" t="s">
        <v>86</v>
      </c>
      <c r="F33" s="21" t="s">
        <v>118</v>
      </c>
      <c r="G33" s="22" t="s">
        <v>42</v>
      </c>
      <c r="H33" s="21" t="s">
        <v>44</v>
      </c>
      <c r="I33" s="21" t="s">
        <v>85</v>
      </c>
      <c r="J33" s="21" t="s">
        <v>26</v>
      </c>
      <c r="K33" s="23">
        <v>14.87</v>
      </c>
      <c r="L33" s="23">
        <v>9.58</v>
      </c>
      <c r="M33" s="23">
        <v>4.59</v>
      </c>
      <c r="N33" s="23">
        <v>5.33</v>
      </c>
      <c r="O33" s="23">
        <v>10.27</v>
      </c>
      <c r="P33" s="23">
        <v>20.25</v>
      </c>
      <c r="Q33" s="24">
        <v>85</v>
      </c>
      <c r="R33" s="23">
        <f t="shared" si="0"/>
        <v>69.819999999999993</v>
      </c>
      <c r="S33" s="23">
        <v>15.18</v>
      </c>
      <c r="T33" s="21">
        <v>78</v>
      </c>
      <c r="U33" s="2"/>
      <c r="V33" s="21"/>
      <c r="W33" s="25" t="s">
        <v>87</v>
      </c>
    </row>
    <row r="34" spans="1:23" ht="51" x14ac:dyDescent="0.2">
      <c r="A34" s="21"/>
      <c r="B34" s="21" t="s">
        <v>29</v>
      </c>
      <c r="C34" s="28" t="s">
        <v>213</v>
      </c>
      <c r="D34" s="21" t="s">
        <v>4</v>
      </c>
      <c r="E34" s="21" t="s">
        <v>86</v>
      </c>
      <c r="F34" s="21" t="s">
        <v>119</v>
      </c>
      <c r="G34" s="22" t="s">
        <v>157</v>
      </c>
      <c r="H34" s="21" t="s">
        <v>60</v>
      </c>
      <c r="I34" s="21" t="s">
        <v>85</v>
      </c>
      <c r="J34" s="21" t="s">
        <v>26</v>
      </c>
      <c r="K34" s="23">
        <v>15.7</v>
      </c>
      <c r="L34" s="23">
        <v>9.64</v>
      </c>
      <c r="M34" s="23">
        <v>5.05</v>
      </c>
      <c r="N34" s="23">
        <v>5.32</v>
      </c>
      <c r="O34" s="23">
        <v>10.62</v>
      </c>
      <c r="P34" s="23">
        <v>20.260000000000002</v>
      </c>
      <c r="Q34" s="24">
        <v>87</v>
      </c>
      <c r="R34" s="23">
        <f t="shared" ref="R34:R60" si="1">Q34-S34</f>
        <v>75.069999999999993</v>
      </c>
      <c r="S34" s="23">
        <v>11.93</v>
      </c>
      <c r="T34" s="21">
        <v>77</v>
      </c>
      <c r="U34" s="2"/>
      <c r="V34" s="1" t="s">
        <v>204</v>
      </c>
      <c r="W34" s="25" t="s">
        <v>87</v>
      </c>
    </row>
    <row r="35" spans="1:23" ht="17" x14ac:dyDescent="0.2">
      <c r="A35" s="21"/>
      <c r="B35" s="21" t="s">
        <v>29</v>
      </c>
      <c r="C35" s="28" t="s">
        <v>213</v>
      </c>
      <c r="D35" s="21" t="s">
        <v>4</v>
      </c>
      <c r="E35" s="21" t="s">
        <v>86</v>
      </c>
      <c r="F35" s="21" t="s">
        <v>120</v>
      </c>
      <c r="G35" s="22" t="s">
        <v>158</v>
      </c>
      <c r="H35" s="21" t="s">
        <v>84</v>
      </c>
      <c r="I35" s="21" t="s">
        <v>85</v>
      </c>
      <c r="J35" s="21" t="s">
        <v>26</v>
      </c>
      <c r="K35" s="23">
        <v>15.05</v>
      </c>
      <c r="L35" s="23">
        <v>9.4499999999999993</v>
      </c>
      <c r="M35" s="23">
        <v>4.7</v>
      </c>
      <c r="N35" s="23">
        <v>5.5</v>
      </c>
      <c r="O35" s="23">
        <v>10.4</v>
      </c>
      <c r="P35" s="23">
        <v>20.18</v>
      </c>
      <c r="Q35" s="24">
        <v>83</v>
      </c>
      <c r="R35" s="23">
        <f t="shared" si="1"/>
        <v>70.47</v>
      </c>
      <c r="S35" s="23">
        <v>12.53</v>
      </c>
      <c r="T35" s="21">
        <v>74</v>
      </c>
      <c r="U35" s="2"/>
      <c r="V35" s="21"/>
      <c r="W35" s="25" t="s">
        <v>87</v>
      </c>
    </row>
    <row r="36" spans="1:23" ht="17" x14ac:dyDescent="0.2">
      <c r="A36" s="21"/>
      <c r="B36" s="21" t="s">
        <v>29</v>
      </c>
      <c r="C36" s="28" t="s">
        <v>213</v>
      </c>
      <c r="D36" s="21" t="s">
        <v>4</v>
      </c>
      <c r="E36" s="21" t="s">
        <v>86</v>
      </c>
      <c r="F36" s="21" t="s">
        <v>121</v>
      </c>
      <c r="G36" s="22" t="s">
        <v>34</v>
      </c>
      <c r="H36" s="21" t="s">
        <v>61</v>
      </c>
      <c r="I36" s="21" t="s">
        <v>85</v>
      </c>
      <c r="J36" s="21" t="s">
        <v>26</v>
      </c>
      <c r="K36" s="23">
        <v>14.72</v>
      </c>
      <c r="L36" s="23">
        <v>9.4600000000000009</v>
      </c>
      <c r="M36" s="23">
        <v>4.6500000000000004</v>
      </c>
      <c r="N36" s="23">
        <v>5.51</v>
      </c>
      <c r="O36" s="23">
        <v>10.9</v>
      </c>
      <c r="P36" s="23">
        <v>20.83</v>
      </c>
      <c r="Q36" s="24">
        <v>85</v>
      </c>
      <c r="R36" s="23">
        <f t="shared" si="1"/>
        <v>69.5</v>
      </c>
      <c r="S36" s="23">
        <v>15.5</v>
      </c>
      <c r="T36" s="21">
        <v>75</v>
      </c>
      <c r="U36" s="2"/>
      <c r="V36" s="21"/>
      <c r="W36" s="25" t="s">
        <v>87</v>
      </c>
    </row>
    <row r="37" spans="1:23" ht="17" x14ac:dyDescent="0.2">
      <c r="A37" s="21"/>
      <c r="B37" s="21" t="s">
        <v>29</v>
      </c>
      <c r="C37" s="28" t="s">
        <v>213</v>
      </c>
      <c r="D37" s="21" t="s">
        <v>4</v>
      </c>
      <c r="E37" s="21" t="s">
        <v>86</v>
      </c>
      <c r="F37" s="21" t="s">
        <v>122</v>
      </c>
      <c r="G37" s="22" t="s">
        <v>159</v>
      </c>
      <c r="H37" s="21" t="s">
        <v>44</v>
      </c>
      <c r="I37" s="21" t="s">
        <v>85</v>
      </c>
      <c r="J37" s="21" t="s">
        <v>26</v>
      </c>
      <c r="K37" s="23">
        <v>14.95</v>
      </c>
      <c r="L37" s="23">
        <v>9.17</v>
      </c>
      <c r="M37" s="23">
        <v>4.68</v>
      </c>
      <c r="N37" s="23">
        <v>5.38</v>
      </c>
      <c r="O37" s="23">
        <v>9.98</v>
      </c>
      <c r="P37" s="23">
        <v>19.89</v>
      </c>
      <c r="Q37" s="24">
        <v>85</v>
      </c>
      <c r="R37" s="23">
        <f t="shared" si="1"/>
        <v>72.38</v>
      </c>
      <c r="S37" s="23">
        <v>12.62</v>
      </c>
      <c r="T37" s="21">
        <v>78</v>
      </c>
      <c r="U37" s="2"/>
      <c r="V37" s="21"/>
      <c r="W37" s="25" t="s">
        <v>87</v>
      </c>
    </row>
    <row r="38" spans="1:23" ht="17" x14ac:dyDescent="0.2">
      <c r="A38" s="21"/>
      <c r="B38" s="21" t="s">
        <v>29</v>
      </c>
      <c r="C38" s="28" t="s">
        <v>213</v>
      </c>
      <c r="D38" s="21" t="s">
        <v>4</v>
      </c>
      <c r="E38" s="21" t="s">
        <v>86</v>
      </c>
      <c r="F38" s="21" t="s">
        <v>123</v>
      </c>
      <c r="G38" s="22" t="s">
        <v>160</v>
      </c>
      <c r="H38" s="21" t="s">
        <v>43</v>
      </c>
      <c r="I38" s="21" t="s">
        <v>85</v>
      </c>
      <c r="J38" s="21" t="s">
        <v>26</v>
      </c>
      <c r="K38" s="23">
        <v>15.26</v>
      </c>
      <c r="L38" s="23">
        <v>8.93</v>
      </c>
      <c r="M38" s="23">
        <v>4.67</v>
      </c>
      <c r="N38" s="23">
        <v>5.18</v>
      </c>
      <c r="O38" s="23">
        <v>10.66</v>
      </c>
      <c r="P38" s="23">
        <v>20.45</v>
      </c>
      <c r="Q38" s="24">
        <v>84</v>
      </c>
      <c r="R38" s="23">
        <f t="shared" si="1"/>
        <v>69.430000000000007</v>
      </c>
      <c r="S38" s="23">
        <v>14.57</v>
      </c>
      <c r="T38" s="21">
        <v>74</v>
      </c>
      <c r="U38" s="2"/>
      <c r="V38" s="21"/>
      <c r="W38" s="25" t="s">
        <v>87</v>
      </c>
    </row>
    <row r="39" spans="1:23" ht="17" x14ac:dyDescent="0.2">
      <c r="A39" s="21"/>
      <c r="B39" s="21" t="s">
        <v>29</v>
      </c>
      <c r="C39" s="28" t="s">
        <v>213</v>
      </c>
      <c r="D39" s="21" t="s">
        <v>4</v>
      </c>
      <c r="E39" s="21" t="s">
        <v>86</v>
      </c>
      <c r="F39" s="21" t="s">
        <v>124</v>
      </c>
      <c r="G39" s="22" t="s">
        <v>144</v>
      </c>
      <c r="H39" s="21" t="s">
        <v>43</v>
      </c>
      <c r="I39" s="21" t="s">
        <v>85</v>
      </c>
      <c r="J39" s="21" t="s">
        <v>26</v>
      </c>
      <c r="K39" s="23">
        <v>13.94</v>
      </c>
      <c r="L39" s="23">
        <v>8.6999999999999993</v>
      </c>
      <c r="M39" s="23">
        <v>4.4400000000000004</v>
      </c>
      <c r="N39" s="23">
        <v>4.6399999999999997</v>
      </c>
      <c r="O39" s="23">
        <v>10.76</v>
      </c>
      <c r="P39" s="23">
        <v>18.239999999999998</v>
      </c>
      <c r="Q39" s="24">
        <v>88</v>
      </c>
      <c r="R39" s="23">
        <f t="shared" si="1"/>
        <v>72.289999999999992</v>
      </c>
      <c r="S39" s="23">
        <v>15.71</v>
      </c>
      <c r="T39" s="21">
        <v>74</v>
      </c>
      <c r="U39" s="2"/>
      <c r="V39" s="21"/>
      <c r="W39" s="25" t="s">
        <v>87</v>
      </c>
    </row>
    <row r="40" spans="1:23" ht="17" x14ac:dyDescent="0.2">
      <c r="A40" s="21"/>
      <c r="B40" s="21" t="s">
        <v>29</v>
      </c>
      <c r="C40" s="28" t="s">
        <v>213</v>
      </c>
      <c r="D40" s="21" t="s">
        <v>4</v>
      </c>
      <c r="E40" s="21" t="s">
        <v>86</v>
      </c>
      <c r="F40" s="21" t="s">
        <v>125</v>
      </c>
      <c r="G40" s="22" t="s">
        <v>63</v>
      </c>
      <c r="H40" s="21" t="s">
        <v>64</v>
      </c>
      <c r="I40" s="21" t="s">
        <v>85</v>
      </c>
      <c r="J40" s="21" t="s">
        <v>26</v>
      </c>
      <c r="K40" s="23">
        <v>15.39</v>
      </c>
      <c r="L40" s="23">
        <v>8.0500000000000007</v>
      </c>
      <c r="M40" s="23">
        <v>4.49</v>
      </c>
      <c r="N40" s="23">
        <v>4.9000000000000004</v>
      </c>
      <c r="O40" s="23">
        <v>10.78</v>
      </c>
      <c r="P40" s="23">
        <v>19.809999999999999</v>
      </c>
      <c r="Q40" s="24">
        <v>84</v>
      </c>
      <c r="R40" s="23">
        <f t="shared" si="1"/>
        <v>74.16</v>
      </c>
      <c r="S40" s="23">
        <v>9.84</v>
      </c>
      <c r="T40" s="21">
        <v>74</v>
      </c>
      <c r="U40" s="2"/>
      <c r="V40" s="21"/>
      <c r="W40" s="25" t="s">
        <v>87</v>
      </c>
    </row>
    <row r="41" spans="1:23" ht="51" x14ac:dyDescent="0.2">
      <c r="A41" s="21"/>
      <c r="B41" s="21" t="s">
        <v>29</v>
      </c>
      <c r="C41" s="28" t="s">
        <v>213</v>
      </c>
      <c r="D41" s="21" t="s">
        <v>4</v>
      </c>
      <c r="E41" s="21" t="s">
        <v>86</v>
      </c>
      <c r="F41" s="21" t="s">
        <v>126</v>
      </c>
      <c r="G41" s="22" t="s">
        <v>161</v>
      </c>
      <c r="H41" s="21" t="s">
        <v>65</v>
      </c>
      <c r="I41" s="21" t="s">
        <v>85</v>
      </c>
      <c r="J41" s="21" t="s">
        <v>26</v>
      </c>
      <c r="K41" s="23">
        <v>13.23</v>
      </c>
      <c r="L41" s="23">
        <v>8.52</v>
      </c>
      <c r="M41" s="23">
        <v>4.0599999999999996</v>
      </c>
      <c r="N41" s="23">
        <v>4.32</v>
      </c>
      <c r="O41" s="23">
        <v>10.72</v>
      </c>
      <c r="P41" s="23">
        <v>20.350000000000001</v>
      </c>
      <c r="Q41" s="24">
        <v>87</v>
      </c>
      <c r="R41" s="23">
        <f t="shared" si="1"/>
        <v>72.08</v>
      </c>
      <c r="S41" s="23">
        <v>14.92</v>
      </c>
      <c r="T41" s="21">
        <v>78</v>
      </c>
      <c r="U41" s="2"/>
      <c r="V41" s="1" t="s">
        <v>204</v>
      </c>
      <c r="W41" s="25" t="s">
        <v>87</v>
      </c>
    </row>
    <row r="42" spans="1:23" ht="17" x14ac:dyDescent="0.2">
      <c r="A42" s="21"/>
      <c r="B42" s="21" t="s">
        <v>29</v>
      </c>
      <c r="C42" s="28" t="s">
        <v>213</v>
      </c>
      <c r="D42" s="21" t="s">
        <v>4</v>
      </c>
      <c r="E42" s="21" t="s">
        <v>86</v>
      </c>
      <c r="F42" s="21" t="s">
        <v>127</v>
      </c>
      <c r="G42" s="22" t="s">
        <v>162</v>
      </c>
      <c r="H42" s="21" t="s">
        <v>44</v>
      </c>
      <c r="I42" s="21" t="s">
        <v>85</v>
      </c>
      <c r="J42" s="21" t="s">
        <v>26</v>
      </c>
      <c r="K42" s="23">
        <v>16.16</v>
      </c>
      <c r="L42" s="23">
        <v>9.81</v>
      </c>
      <c r="M42" s="23">
        <v>4.66</v>
      </c>
      <c r="N42" s="23">
        <v>5.27</v>
      </c>
      <c r="O42" s="23">
        <v>10.19</v>
      </c>
      <c r="P42" s="23">
        <v>20.7</v>
      </c>
      <c r="Q42" s="24">
        <v>86</v>
      </c>
      <c r="R42" s="23">
        <f t="shared" si="1"/>
        <v>72.87</v>
      </c>
      <c r="S42" s="23">
        <v>13.13</v>
      </c>
      <c r="T42" s="21">
        <v>78</v>
      </c>
      <c r="U42" s="2"/>
      <c r="V42" s="21"/>
      <c r="W42" s="25" t="s">
        <v>87</v>
      </c>
    </row>
    <row r="43" spans="1:23" ht="34" x14ac:dyDescent="0.2">
      <c r="A43" s="21"/>
      <c r="B43" s="21" t="s">
        <v>29</v>
      </c>
      <c r="C43" s="28" t="s">
        <v>214</v>
      </c>
      <c r="D43" s="28" t="s">
        <v>3</v>
      </c>
      <c r="E43" s="21" t="s">
        <v>86</v>
      </c>
      <c r="F43" s="21" t="s">
        <v>128</v>
      </c>
      <c r="G43" s="22" t="s">
        <v>163</v>
      </c>
      <c r="H43" s="21" t="s">
        <v>66</v>
      </c>
      <c r="I43" s="21" t="s">
        <v>85</v>
      </c>
      <c r="J43" s="21" t="s">
        <v>26</v>
      </c>
      <c r="K43" s="23">
        <v>12.87</v>
      </c>
      <c r="L43" s="23">
        <v>8.4</v>
      </c>
      <c r="M43" s="23">
        <v>6</v>
      </c>
      <c r="N43" s="23">
        <v>6.97</v>
      </c>
      <c r="O43" s="23">
        <v>11.98</v>
      </c>
      <c r="P43" s="23">
        <v>21.41</v>
      </c>
      <c r="Q43" s="24">
        <v>88</v>
      </c>
      <c r="R43" s="23">
        <f t="shared" si="1"/>
        <v>74.5</v>
      </c>
      <c r="S43" s="23">
        <v>13.5</v>
      </c>
      <c r="T43" s="24">
        <v>89</v>
      </c>
      <c r="U43" s="28" t="s">
        <v>79</v>
      </c>
      <c r="V43" s="21"/>
      <c r="W43" s="25" t="s">
        <v>87</v>
      </c>
    </row>
    <row r="44" spans="1:23" ht="34" x14ac:dyDescent="0.2">
      <c r="A44" s="21"/>
      <c r="B44" s="21" t="s">
        <v>29</v>
      </c>
      <c r="C44" s="28" t="s">
        <v>214</v>
      </c>
      <c r="D44" s="21" t="s">
        <v>3</v>
      </c>
      <c r="E44" s="21" t="s">
        <v>86</v>
      </c>
      <c r="F44" s="21" t="s">
        <v>129</v>
      </c>
      <c r="G44" s="22" t="s">
        <v>164</v>
      </c>
      <c r="H44" s="21" t="s">
        <v>27</v>
      </c>
      <c r="I44" s="21" t="s">
        <v>85</v>
      </c>
      <c r="J44" s="21" t="s">
        <v>26</v>
      </c>
      <c r="K44" s="23">
        <v>12.97</v>
      </c>
      <c r="L44" s="23">
        <v>8.1199999999999992</v>
      </c>
      <c r="M44" s="23">
        <v>5.96</v>
      </c>
      <c r="N44" s="23">
        <v>7.4</v>
      </c>
      <c r="O44" s="23">
        <v>10.53</v>
      </c>
      <c r="P44" s="23">
        <v>19.89</v>
      </c>
      <c r="Q44" s="24">
        <v>89</v>
      </c>
      <c r="R44" s="23">
        <f t="shared" si="1"/>
        <v>78.510000000000005</v>
      </c>
      <c r="S44" s="23">
        <v>10.49</v>
      </c>
      <c r="T44" s="24">
        <v>88</v>
      </c>
      <c r="U44" s="21" t="s">
        <v>79</v>
      </c>
      <c r="V44" s="21"/>
      <c r="W44" s="25" t="s">
        <v>87</v>
      </c>
    </row>
    <row r="45" spans="1:23" ht="34" x14ac:dyDescent="0.2">
      <c r="A45" s="21"/>
      <c r="B45" s="21" t="s">
        <v>29</v>
      </c>
      <c r="C45" s="28" t="s">
        <v>214</v>
      </c>
      <c r="D45" s="21" t="s">
        <v>3</v>
      </c>
      <c r="E45" s="21" t="s">
        <v>86</v>
      </c>
      <c r="F45" s="21" t="s">
        <v>130</v>
      </c>
      <c r="G45" s="22" t="s">
        <v>27</v>
      </c>
      <c r="H45" s="21" t="s">
        <v>27</v>
      </c>
      <c r="I45" s="21" t="s">
        <v>85</v>
      </c>
      <c r="J45" s="21" t="s">
        <v>26</v>
      </c>
      <c r="K45" s="23">
        <v>13.52</v>
      </c>
      <c r="L45" s="23">
        <v>8.8000000000000007</v>
      </c>
      <c r="M45" s="23">
        <v>6.18</v>
      </c>
      <c r="N45" s="23">
        <v>7.49</v>
      </c>
      <c r="O45" s="23">
        <v>11.49</v>
      </c>
      <c r="P45" s="23">
        <v>21.25</v>
      </c>
      <c r="Q45" s="24">
        <v>92</v>
      </c>
      <c r="R45" s="23">
        <f t="shared" si="1"/>
        <v>78.489999999999995</v>
      </c>
      <c r="S45" s="23">
        <v>13.51</v>
      </c>
      <c r="T45" s="24">
        <v>93</v>
      </c>
      <c r="U45" s="21" t="s">
        <v>79</v>
      </c>
      <c r="V45" s="21" t="s">
        <v>83</v>
      </c>
      <c r="W45" s="25" t="s">
        <v>87</v>
      </c>
    </row>
    <row r="46" spans="1:23" ht="17" x14ac:dyDescent="0.2">
      <c r="A46" s="21"/>
      <c r="B46" s="21" t="s">
        <v>29</v>
      </c>
      <c r="C46" s="28" t="s">
        <v>215</v>
      </c>
      <c r="D46" s="28" t="s">
        <v>5</v>
      </c>
      <c r="E46" s="21" t="s">
        <v>86</v>
      </c>
      <c r="F46" s="21" t="s">
        <v>131</v>
      </c>
      <c r="G46" s="22" t="s">
        <v>67</v>
      </c>
      <c r="H46" s="21" t="s">
        <v>27</v>
      </c>
      <c r="I46" s="21" t="s">
        <v>85</v>
      </c>
      <c r="J46" s="21" t="s">
        <v>25</v>
      </c>
      <c r="K46" s="23">
        <v>22.88</v>
      </c>
      <c r="L46" s="23">
        <v>13.9</v>
      </c>
      <c r="M46" s="23">
        <v>4.6500000000000004</v>
      </c>
      <c r="N46" s="23">
        <v>6.61</v>
      </c>
      <c r="O46" s="23">
        <v>12.06</v>
      </c>
      <c r="P46" s="23">
        <v>21.3</v>
      </c>
      <c r="Q46" s="24">
        <v>116</v>
      </c>
      <c r="R46" s="23">
        <f t="shared" si="1"/>
        <v>88.289999999999992</v>
      </c>
      <c r="S46" s="23">
        <v>27.71</v>
      </c>
      <c r="T46" s="24">
        <v>100</v>
      </c>
      <c r="U46" s="28" t="s">
        <v>80</v>
      </c>
      <c r="V46" s="21"/>
      <c r="W46" s="25" t="s">
        <v>87</v>
      </c>
    </row>
    <row r="47" spans="1:23" ht="17" x14ac:dyDescent="0.2">
      <c r="A47" s="21"/>
      <c r="B47" s="21" t="s">
        <v>29</v>
      </c>
      <c r="C47" s="28" t="s">
        <v>215</v>
      </c>
      <c r="D47" s="21" t="s">
        <v>5</v>
      </c>
      <c r="E47" s="21" t="s">
        <v>86</v>
      </c>
      <c r="F47" s="21" t="s">
        <v>132</v>
      </c>
      <c r="G47" s="22" t="s">
        <v>165</v>
      </c>
      <c r="H47" s="21" t="s">
        <v>68</v>
      </c>
      <c r="I47" s="21" t="s">
        <v>85</v>
      </c>
      <c r="J47" s="21" t="s">
        <v>25</v>
      </c>
      <c r="K47" s="23">
        <v>21.99</v>
      </c>
      <c r="L47" s="23">
        <v>12.79</v>
      </c>
      <c r="M47" s="23">
        <v>4.54</v>
      </c>
      <c r="N47" s="23">
        <v>5.95</v>
      </c>
      <c r="O47" s="23">
        <v>12.37</v>
      </c>
      <c r="P47" s="23">
        <v>19.02</v>
      </c>
      <c r="Q47" s="24">
        <v>106</v>
      </c>
      <c r="R47" s="23">
        <f t="shared" si="1"/>
        <v>82.91</v>
      </c>
      <c r="S47" s="23">
        <v>23.09</v>
      </c>
      <c r="T47" s="24">
        <v>98</v>
      </c>
      <c r="U47" s="21" t="s">
        <v>80</v>
      </c>
      <c r="V47" s="21"/>
      <c r="W47" s="25" t="s">
        <v>87</v>
      </c>
    </row>
    <row r="48" spans="1:23" ht="17" x14ac:dyDescent="0.2">
      <c r="A48" s="21"/>
      <c r="B48" s="21" t="s">
        <v>29</v>
      </c>
      <c r="C48" s="28" t="s">
        <v>215</v>
      </c>
      <c r="D48" s="21" t="s">
        <v>5</v>
      </c>
      <c r="E48" s="21" t="s">
        <v>86</v>
      </c>
      <c r="F48" s="21" t="s">
        <v>133</v>
      </c>
      <c r="G48" s="22" t="s">
        <v>69</v>
      </c>
      <c r="H48" s="21" t="s">
        <v>27</v>
      </c>
      <c r="I48" s="21" t="s">
        <v>85</v>
      </c>
      <c r="J48" s="21" t="s">
        <v>26</v>
      </c>
      <c r="K48" s="23">
        <v>23.03</v>
      </c>
      <c r="L48" s="23">
        <v>13.81</v>
      </c>
      <c r="M48" s="23">
        <v>4.28</v>
      </c>
      <c r="N48" s="23">
        <v>5.66</v>
      </c>
      <c r="O48" s="23">
        <v>11.65</v>
      </c>
      <c r="P48" s="23">
        <v>19.190000000000001</v>
      </c>
      <c r="Q48" s="24">
        <v>109</v>
      </c>
      <c r="R48" s="23">
        <f t="shared" si="1"/>
        <v>84.89</v>
      </c>
      <c r="S48" s="23">
        <v>24.11</v>
      </c>
      <c r="T48" s="24">
        <v>95</v>
      </c>
      <c r="U48" s="21" t="s">
        <v>80</v>
      </c>
      <c r="V48" s="21"/>
      <c r="W48" s="25" t="s">
        <v>87</v>
      </c>
    </row>
    <row r="49" spans="1:23" ht="17" x14ac:dyDescent="0.2">
      <c r="A49" s="21"/>
      <c r="B49" s="21" t="s">
        <v>29</v>
      </c>
      <c r="C49" s="28" t="s">
        <v>215</v>
      </c>
      <c r="D49" s="21" t="s">
        <v>5</v>
      </c>
      <c r="E49" s="21" t="s">
        <v>86</v>
      </c>
      <c r="F49" s="21" t="s">
        <v>134</v>
      </c>
      <c r="G49" s="22" t="s">
        <v>166</v>
      </c>
      <c r="H49" s="21" t="s">
        <v>70</v>
      </c>
      <c r="I49" s="21" t="s">
        <v>85</v>
      </c>
      <c r="J49" s="21" t="s">
        <v>25</v>
      </c>
      <c r="K49" s="23">
        <v>21.8</v>
      </c>
      <c r="L49" s="23">
        <v>13.75</v>
      </c>
      <c r="M49" s="23">
        <v>4.79</v>
      </c>
      <c r="N49" s="23">
        <v>5.63</v>
      </c>
      <c r="O49" s="23">
        <v>12.92</v>
      </c>
      <c r="P49" s="23">
        <v>19.850000000000001</v>
      </c>
      <c r="Q49" s="24">
        <v>108</v>
      </c>
      <c r="R49" s="23">
        <f t="shared" si="1"/>
        <v>82.35</v>
      </c>
      <c r="S49" s="23">
        <v>25.65</v>
      </c>
      <c r="T49" s="24">
        <v>91</v>
      </c>
      <c r="U49" s="21" t="s">
        <v>80</v>
      </c>
      <c r="V49" s="21"/>
      <c r="W49" s="25" t="s">
        <v>87</v>
      </c>
    </row>
    <row r="50" spans="1:23" ht="34" x14ac:dyDescent="0.2">
      <c r="A50" s="21"/>
      <c r="B50" s="21" t="s">
        <v>29</v>
      </c>
      <c r="C50" s="28" t="s">
        <v>215</v>
      </c>
      <c r="D50" s="21" t="s">
        <v>5</v>
      </c>
      <c r="E50" s="21" t="s">
        <v>86</v>
      </c>
      <c r="F50" s="21" t="s">
        <v>135</v>
      </c>
      <c r="G50" s="22" t="s">
        <v>167</v>
      </c>
      <c r="H50" s="21" t="s">
        <v>71</v>
      </c>
      <c r="I50" s="21" t="s">
        <v>85</v>
      </c>
      <c r="J50" s="21" t="s">
        <v>25</v>
      </c>
      <c r="K50" s="23">
        <v>23.66</v>
      </c>
      <c r="L50" s="23">
        <v>14.4</v>
      </c>
      <c r="M50" s="23">
        <v>5.15</v>
      </c>
      <c r="N50" s="23">
        <v>5.71</v>
      </c>
      <c r="O50" s="23">
        <v>13.76</v>
      </c>
      <c r="P50" s="23">
        <v>18.079999999999998</v>
      </c>
      <c r="Q50" s="24">
        <v>105</v>
      </c>
      <c r="R50" s="23">
        <f t="shared" si="1"/>
        <v>82.47</v>
      </c>
      <c r="S50" s="23">
        <v>22.53</v>
      </c>
      <c r="T50" s="24">
        <v>89</v>
      </c>
      <c r="U50" s="21" t="s">
        <v>80</v>
      </c>
      <c r="V50" s="21"/>
      <c r="W50" s="25" t="s">
        <v>87</v>
      </c>
    </row>
    <row r="51" spans="1:23" ht="17" x14ac:dyDescent="0.2">
      <c r="A51" s="21"/>
      <c r="B51" s="21" t="s">
        <v>29</v>
      </c>
      <c r="C51" s="28" t="s">
        <v>215</v>
      </c>
      <c r="D51" s="21" t="s">
        <v>5</v>
      </c>
      <c r="E51" s="21" t="s">
        <v>86</v>
      </c>
      <c r="F51" s="21" t="s">
        <v>136</v>
      </c>
      <c r="G51" s="22" t="s">
        <v>168</v>
      </c>
      <c r="H51" s="21" t="s">
        <v>72</v>
      </c>
      <c r="I51" s="21" t="s">
        <v>85</v>
      </c>
      <c r="J51" s="21" t="s">
        <v>25</v>
      </c>
      <c r="K51" s="23">
        <v>24.03</v>
      </c>
      <c r="L51" s="23">
        <v>14</v>
      </c>
      <c r="M51" s="23">
        <v>4.87</v>
      </c>
      <c r="N51" s="23">
        <v>6.25</v>
      </c>
      <c r="O51" s="23">
        <v>11.07</v>
      </c>
      <c r="P51" s="23">
        <v>18.8</v>
      </c>
      <c r="Q51" s="24">
        <v>111</v>
      </c>
      <c r="R51" s="23">
        <f t="shared" si="1"/>
        <v>83.53</v>
      </c>
      <c r="S51" s="23">
        <v>27.47</v>
      </c>
      <c r="T51" s="24">
        <v>87</v>
      </c>
      <c r="U51" s="21" t="s">
        <v>80</v>
      </c>
      <c r="V51" s="21"/>
      <c r="W51" s="25" t="s">
        <v>87</v>
      </c>
    </row>
    <row r="52" spans="1:23" ht="34" x14ac:dyDescent="0.2">
      <c r="A52" s="21"/>
      <c r="B52" s="21" t="s">
        <v>29</v>
      </c>
      <c r="C52" s="28" t="s">
        <v>215</v>
      </c>
      <c r="D52" s="21" t="s">
        <v>5</v>
      </c>
      <c r="E52" s="21" t="s">
        <v>86</v>
      </c>
      <c r="F52" s="21" t="s">
        <v>137</v>
      </c>
      <c r="G52" s="22" t="s">
        <v>169</v>
      </c>
      <c r="H52" s="21" t="s">
        <v>73</v>
      </c>
      <c r="I52" s="21" t="s">
        <v>85</v>
      </c>
      <c r="J52" s="21" t="s">
        <v>26</v>
      </c>
      <c r="K52" s="23">
        <v>24.24</v>
      </c>
      <c r="L52" s="23">
        <v>15.03</v>
      </c>
      <c r="M52" s="23">
        <v>5.0599999999999996</v>
      </c>
      <c r="N52" s="23">
        <v>6.46</v>
      </c>
      <c r="O52" s="23">
        <v>11.33</v>
      </c>
      <c r="P52" s="23">
        <v>18.559999999999999</v>
      </c>
      <c r="Q52" s="24">
        <v>117</v>
      </c>
      <c r="R52" s="23">
        <f t="shared" si="1"/>
        <v>88.49</v>
      </c>
      <c r="S52" s="23">
        <v>28.51</v>
      </c>
      <c r="T52" s="24">
        <v>96</v>
      </c>
      <c r="U52" s="21" t="s">
        <v>80</v>
      </c>
      <c r="V52" s="21"/>
      <c r="W52" s="25" t="s">
        <v>87</v>
      </c>
    </row>
    <row r="53" spans="1:23" ht="17" x14ac:dyDescent="0.2">
      <c r="A53" s="21"/>
      <c r="B53" s="21" t="s">
        <v>29</v>
      </c>
      <c r="C53" s="28" t="s">
        <v>215</v>
      </c>
      <c r="D53" s="21" t="s">
        <v>5</v>
      </c>
      <c r="E53" s="21" t="s">
        <v>86</v>
      </c>
      <c r="F53" s="21" t="s">
        <v>138</v>
      </c>
      <c r="G53" s="22" t="s">
        <v>170</v>
      </c>
      <c r="H53" s="21" t="s">
        <v>74</v>
      </c>
      <c r="I53" s="21" t="s">
        <v>85</v>
      </c>
      <c r="J53" s="21" t="s">
        <v>26</v>
      </c>
      <c r="K53" s="23">
        <v>22.59</v>
      </c>
      <c r="L53" s="23">
        <v>14.67</v>
      </c>
      <c r="M53" s="23">
        <v>5</v>
      </c>
      <c r="N53" s="23">
        <v>6</v>
      </c>
      <c r="O53" s="23">
        <v>12.14</v>
      </c>
      <c r="P53" s="23">
        <v>18.43</v>
      </c>
      <c r="Q53" s="24">
        <v>117</v>
      </c>
      <c r="R53" s="23">
        <f t="shared" si="1"/>
        <v>88.8</v>
      </c>
      <c r="S53" s="23">
        <v>28.2</v>
      </c>
      <c r="T53" s="24">
        <v>101</v>
      </c>
      <c r="U53" s="21" t="s">
        <v>80</v>
      </c>
      <c r="V53" s="21"/>
      <c r="W53" s="25" t="s">
        <v>87</v>
      </c>
    </row>
    <row r="54" spans="1:23" ht="17" x14ac:dyDescent="0.2">
      <c r="A54" s="21"/>
      <c r="B54" s="21" t="s">
        <v>29</v>
      </c>
      <c r="C54" s="28" t="s">
        <v>215</v>
      </c>
      <c r="D54" s="21" t="s">
        <v>5</v>
      </c>
      <c r="E54" s="21" t="s">
        <v>86</v>
      </c>
      <c r="F54" s="21" t="s">
        <v>139</v>
      </c>
      <c r="G54" s="22" t="s">
        <v>171</v>
      </c>
      <c r="H54" s="21" t="s">
        <v>75</v>
      </c>
      <c r="I54" s="21" t="s">
        <v>85</v>
      </c>
      <c r="J54" s="21" t="s">
        <v>25</v>
      </c>
      <c r="K54" s="23">
        <v>20.94</v>
      </c>
      <c r="L54" s="23">
        <v>13.17</v>
      </c>
      <c r="M54" s="23">
        <v>5.48</v>
      </c>
      <c r="N54" s="23">
        <v>6.04</v>
      </c>
      <c r="O54" s="23">
        <v>11.11</v>
      </c>
      <c r="P54" s="23">
        <v>18.239999999999998</v>
      </c>
      <c r="Q54" s="24">
        <v>113</v>
      </c>
      <c r="R54" s="23">
        <f t="shared" si="1"/>
        <v>85.68</v>
      </c>
      <c r="S54" s="23">
        <v>27.32</v>
      </c>
      <c r="T54" s="24">
        <v>93</v>
      </c>
      <c r="U54" s="21" t="s">
        <v>80</v>
      </c>
      <c r="V54" s="21"/>
      <c r="W54" s="25" t="s">
        <v>87</v>
      </c>
    </row>
    <row r="55" spans="1:23" ht="17" x14ac:dyDescent="0.2">
      <c r="A55" s="21"/>
      <c r="B55" s="21" t="s">
        <v>29</v>
      </c>
      <c r="C55" s="28" t="s">
        <v>215</v>
      </c>
      <c r="D55" s="21" t="s">
        <v>5</v>
      </c>
      <c r="E55" s="21" t="s">
        <v>86</v>
      </c>
      <c r="F55" s="21" t="s">
        <v>140</v>
      </c>
      <c r="G55" s="22" t="s">
        <v>172</v>
      </c>
      <c r="H55" s="21" t="s">
        <v>76</v>
      </c>
      <c r="I55" s="21" t="s">
        <v>85</v>
      </c>
      <c r="J55" s="21" t="s">
        <v>26</v>
      </c>
      <c r="K55" s="23">
        <v>24.03</v>
      </c>
      <c r="L55" s="23">
        <v>14.75</v>
      </c>
      <c r="M55" s="23">
        <v>5.31</v>
      </c>
      <c r="N55" s="23">
        <v>6.23</v>
      </c>
      <c r="O55" s="23">
        <v>11.11</v>
      </c>
      <c r="P55" s="23">
        <v>19.59</v>
      </c>
      <c r="Q55" s="24">
        <v>119</v>
      </c>
      <c r="R55" s="23">
        <f t="shared" si="1"/>
        <v>89.58</v>
      </c>
      <c r="S55" s="23">
        <v>29.42</v>
      </c>
      <c r="T55" s="24">
        <v>110</v>
      </c>
      <c r="U55" s="21" t="s">
        <v>80</v>
      </c>
      <c r="V55" s="21"/>
      <c r="W55" s="25" t="s">
        <v>87</v>
      </c>
    </row>
    <row r="56" spans="1:23" ht="17" x14ac:dyDescent="0.2">
      <c r="A56" s="21"/>
      <c r="B56" s="21" t="s">
        <v>29</v>
      </c>
      <c r="C56" s="28" t="s">
        <v>215</v>
      </c>
      <c r="D56" s="21" t="s">
        <v>5</v>
      </c>
      <c r="E56" s="21" t="s">
        <v>86</v>
      </c>
      <c r="F56" s="21" t="s">
        <v>141</v>
      </c>
      <c r="G56" s="22" t="s">
        <v>173</v>
      </c>
      <c r="H56" s="21" t="s">
        <v>77</v>
      </c>
      <c r="I56" s="21" t="s">
        <v>85</v>
      </c>
      <c r="J56" s="21" t="s">
        <v>26</v>
      </c>
      <c r="K56" s="23">
        <v>22.44</v>
      </c>
      <c r="L56" s="23">
        <v>14.68</v>
      </c>
      <c r="M56" s="23">
        <v>5.32</v>
      </c>
      <c r="N56" s="23">
        <v>6.18</v>
      </c>
      <c r="O56" s="23">
        <v>11.76</v>
      </c>
      <c r="P56" s="23">
        <v>18.260000000000002</v>
      </c>
      <c r="Q56" s="24">
        <v>115</v>
      </c>
      <c r="R56" s="23">
        <f t="shared" si="1"/>
        <v>88.83</v>
      </c>
      <c r="S56" s="23">
        <v>26.17</v>
      </c>
      <c r="T56" s="24">
        <v>100</v>
      </c>
      <c r="U56" s="21" t="s">
        <v>80</v>
      </c>
      <c r="V56" s="21"/>
      <c r="W56" s="25" t="s">
        <v>87</v>
      </c>
    </row>
    <row r="57" spans="1:23" ht="17" x14ac:dyDescent="0.2">
      <c r="A57" s="21"/>
      <c r="B57" s="21" t="s">
        <v>29</v>
      </c>
      <c r="C57" s="28" t="s">
        <v>215</v>
      </c>
      <c r="D57" s="21" t="s">
        <v>5</v>
      </c>
      <c r="E57" s="21" t="s">
        <v>86</v>
      </c>
      <c r="F57" s="21" t="s">
        <v>142</v>
      </c>
      <c r="G57" s="22" t="s">
        <v>174</v>
      </c>
      <c r="H57" s="21" t="s">
        <v>78</v>
      </c>
      <c r="I57" s="21" t="s">
        <v>85</v>
      </c>
      <c r="J57" s="21" t="s">
        <v>26</v>
      </c>
      <c r="K57" s="23">
        <v>23.27</v>
      </c>
      <c r="L57" s="23">
        <v>14.43</v>
      </c>
      <c r="M57" s="23">
        <v>5.0999999999999996</v>
      </c>
      <c r="N57" s="23">
        <v>5.45</v>
      </c>
      <c r="O57" s="23">
        <v>10.98</v>
      </c>
      <c r="P57" s="23">
        <v>18.02</v>
      </c>
      <c r="Q57" s="24">
        <v>116</v>
      </c>
      <c r="R57" s="23">
        <f t="shared" si="1"/>
        <v>87.960000000000008</v>
      </c>
      <c r="S57" s="23">
        <v>28.04</v>
      </c>
      <c r="T57" s="24">
        <v>110</v>
      </c>
      <c r="U57" s="21" t="s">
        <v>80</v>
      </c>
      <c r="V57" s="21"/>
      <c r="W57" s="25" t="s">
        <v>87</v>
      </c>
    </row>
    <row r="58" spans="1:23" ht="34" x14ac:dyDescent="0.2">
      <c r="A58" s="21"/>
      <c r="B58" s="21" t="s">
        <v>29</v>
      </c>
      <c r="C58" s="28" t="s">
        <v>213</v>
      </c>
      <c r="D58" s="21" t="s">
        <v>4</v>
      </c>
      <c r="E58" s="21" t="s">
        <v>176</v>
      </c>
      <c r="F58" s="21" t="s">
        <v>185</v>
      </c>
      <c r="G58" s="22" t="s">
        <v>186</v>
      </c>
      <c r="H58" s="21" t="s">
        <v>206</v>
      </c>
      <c r="I58" s="21" t="s">
        <v>85</v>
      </c>
      <c r="J58" s="21" t="s">
        <v>26</v>
      </c>
      <c r="K58" s="24">
        <v>14.72</v>
      </c>
      <c r="L58" s="24">
        <v>8.8699999999999992</v>
      </c>
      <c r="M58" s="24">
        <v>4.0999999999999996</v>
      </c>
      <c r="N58" s="24">
        <v>5.41</v>
      </c>
      <c r="O58" s="24">
        <v>9.14</v>
      </c>
      <c r="P58" s="24">
        <v>20.99</v>
      </c>
      <c r="Q58" s="24">
        <v>86</v>
      </c>
      <c r="R58" s="23">
        <f t="shared" si="1"/>
        <v>72.03</v>
      </c>
      <c r="S58" s="24">
        <v>13.97</v>
      </c>
      <c r="T58" s="24">
        <v>77</v>
      </c>
      <c r="U58" s="21"/>
      <c r="V58" s="21"/>
      <c r="W58" s="25" t="s">
        <v>87</v>
      </c>
    </row>
    <row r="59" spans="1:23" ht="34" x14ac:dyDescent="0.2">
      <c r="A59" s="21"/>
      <c r="B59" s="21" t="s">
        <v>29</v>
      </c>
      <c r="C59" s="28" t="s">
        <v>213</v>
      </c>
      <c r="D59" s="21" t="s">
        <v>4</v>
      </c>
      <c r="E59" s="21" t="s">
        <v>176</v>
      </c>
      <c r="F59" s="21" t="s">
        <v>189</v>
      </c>
      <c r="G59" s="22" t="s">
        <v>27</v>
      </c>
      <c r="H59" s="22" t="s">
        <v>27</v>
      </c>
      <c r="I59" s="21" t="s">
        <v>85</v>
      </c>
      <c r="J59" s="21" t="s">
        <v>27</v>
      </c>
      <c r="K59" s="24">
        <v>15.27</v>
      </c>
      <c r="L59" s="24">
        <v>9.11</v>
      </c>
      <c r="M59" s="24">
        <v>4.5599999999999996</v>
      </c>
      <c r="N59" s="24">
        <v>5.6</v>
      </c>
      <c r="O59" s="24">
        <v>10.68</v>
      </c>
      <c r="P59" s="24">
        <v>20.96</v>
      </c>
      <c r="Q59" s="24">
        <v>86</v>
      </c>
      <c r="R59" s="23">
        <f t="shared" si="1"/>
        <v>72.14</v>
      </c>
      <c r="S59" s="24">
        <v>13.86</v>
      </c>
      <c r="T59" s="24">
        <v>80</v>
      </c>
      <c r="U59" s="21"/>
      <c r="V59" s="21"/>
      <c r="W59" s="25" t="s">
        <v>87</v>
      </c>
    </row>
    <row r="60" spans="1:23" ht="34" x14ac:dyDescent="0.2">
      <c r="A60" s="21"/>
      <c r="B60" s="21" t="s">
        <v>29</v>
      </c>
      <c r="C60" s="28" t="s">
        <v>213</v>
      </c>
      <c r="D60" s="21" t="s">
        <v>4</v>
      </c>
      <c r="E60" s="21" t="s">
        <v>176</v>
      </c>
      <c r="F60" s="21" t="s">
        <v>196</v>
      </c>
      <c r="G60" s="22" t="s">
        <v>197</v>
      </c>
      <c r="H60" s="22" t="s">
        <v>27</v>
      </c>
      <c r="I60" s="21" t="s">
        <v>85</v>
      </c>
      <c r="J60" s="21" t="s">
        <v>27</v>
      </c>
      <c r="K60" s="24">
        <v>13.64</v>
      </c>
      <c r="L60" s="24">
        <v>8.7899999999999991</v>
      </c>
      <c r="M60" s="24">
        <v>4.78</v>
      </c>
      <c r="N60" s="24">
        <v>5.3</v>
      </c>
      <c r="O60" s="24">
        <v>10.84</v>
      </c>
      <c r="P60" s="24">
        <v>19.86</v>
      </c>
      <c r="Q60" s="24">
        <v>88</v>
      </c>
      <c r="R60" s="23">
        <f t="shared" si="1"/>
        <v>72.69</v>
      </c>
      <c r="S60" s="24">
        <v>15.31</v>
      </c>
      <c r="T60" s="24">
        <v>85</v>
      </c>
      <c r="U60" s="21"/>
      <c r="V60" s="21"/>
      <c r="W60" s="25" t="s">
        <v>87</v>
      </c>
    </row>
    <row r="61" spans="1:23" ht="34" x14ac:dyDescent="0.2">
      <c r="A61" s="21"/>
      <c r="B61" s="21" t="s">
        <v>29</v>
      </c>
      <c r="C61" s="28" t="s">
        <v>213</v>
      </c>
      <c r="D61" s="21" t="s">
        <v>4</v>
      </c>
      <c r="E61" s="21" t="s">
        <v>176</v>
      </c>
      <c r="F61" s="21" t="s">
        <v>202</v>
      </c>
      <c r="G61" s="22" t="s">
        <v>27</v>
      </c>
      <c r="H61" s="22" t="s">
        <v>27</v>
      </c>
      <c r="I61" s="21" t="s">
        <v>85</v>
      </c>
      <c r="J61" s="21" t="s">
        <v>27</v>
      </c>
      <c r="K61" s="24">
        <v>13.54</v>
      </c>
      <c r="L61" s="24">
        <v>9.31</v>
      </c>
      <c r="M61" s="24">
        <v>4.7300000000000004</v>
      </c>
      <c r="N61" s="24">
        <v>5.0599999999999996</v>
      </c>
      <c r="O61" s="24">
        <v>10.09</v>
      </c>
      <c r="P61" s="24">
        <v>20</v>
      </c>
      <c r="Q61" s="24">
        <v>85</v>
      </c>
      <c r="R61" s="23"/>
      <c r="S61" s="24">
        <v>13.19</v>
      </c>
      <c r="T61" s="24">
        <v>79</v>
      </c>
      <c r="U61" s="21"/>
      <c r="V61" s="21" t="s">
        <v>177</v>
      </c>
      <c r="W61" s="25" t="s">
        <v>87</v>
      </c>
    </row>
    <row r="62" spans="1:23" ht="34" x14ac:dyDescent="0.2">
      <c r="A62" s="21"/>
      <c r="B62" s="21" t="s">
        <v>29</v>
      </c>
      <c r="C62" s="28" t="s">
        <v>213</v>
      </c>
      <c r="D62" s="21" t="s">
        <v>4</v>
      </c>
      <c r="E62" s="21" t="s">
        <v>176</v>
      </c>
      <c r="F62" s="21" t="s">
        <v>190</v>
      </c>
      <c r="G62" s="22" t="s">
        <v>181</v>
      </c>
      <c r="H62" s="26" t="s">
        <v>207</v>
      </c>
      <c r="I62" s="21" t="s">
        <v>85</v>
      </c>
      <c r="J62" s="21" t="s">
        <v>191</v>
      </c>
      <c r="K62" s="24">
        <v>15.42</v>
      </c>
      <c r="L62" s="24">
        <v>10.07</v>
      </c>
      <c r="M62" s="24">
        <v>4.5999999999999996</v>
      </c>
      <c r="N62" s="24">
        <v>5.31</v>
      </c>
      <c r="O62" s="24">
        <v>11.52</v>
      </c>
      <c r="P62" s="24">
        <v>19.79</v>
      </c>
      <c r="Q62" s="24">
        <v>82</v>
      </c>
      <c r="R62" s="23">
        <f>Q62-S62</f>
        <v>68.87</v>
      </c>
      <c r="S62" s="24">
        <v>13.13</v>
      </c>
      <c r="T62" s="24">
        <v>79</v>
      </c>
      <c r="U62" s="21"/>
      <c r="V62" s="21"/>
      <c r="W62" s="25" t="s">
        <v>87</v>
      </c>
    </row>
    <row r="63" spans="1:23" ht="34" x14ac:dyDescent="0.2">
      <c r="A63" s="21"/>
      <c r="B63" s="21" t="s">
        <v>29</v>
      </c>
      <c r="C63" s="28" t="s">
        <v>213</v>
      </c>
      <c r="D63" s="21" t="s">
        <v>4</v>
      </c>
      <c r="E63" s="21" t="s">
        <v>176</v>
      </c>
      <c r="F63" s="21" t="s">
        <v>193</v>
      </c>
      <c r="G63" s="22" t="s">
        <v>192</v>
      </c>
      <c r="H63" s="26" t="s">
        <v>208</v>
      </c>
      <c r="I63" s="21" t="s">
        <v>85</v>
      </c>
      <c r="J63" s="21" t="s">
        <v>25</v>
      </c>
      <c r="K63" s="24">
        <v>14.21</v>
      </c>
      <c r="L63" s="24">
        <v>9.4499999999999993</v>
      </c>
      <c r="M63" s="24">
        <v>4.42</v>
      </c>
      <c r="N63" s="24">
        <v>5.18</v>
      </c>
      <c r="O63" s="24">
        <v>10.79</v>
      </c>
      <c r="P63" s="24">
        <v>20.329999999999998</v>
      </c>
      <c r="Q63" s="24">
        <v>83</v>
      </c>
      <c r="R63" s="23">
        <f>Q63-S63</f>
        <v>70.48</v>
      </c>
      <c r="S63" s="24">
        <v>12.52</v>
      </c>
      <c r="T63" s="24">
        <v>80</v>
      </c>
      <c r="U63" s="21"/>
      <c r="V63" s="21"/>
      <c r="W63" s="25" t="s">
        <v>87</v>
      </c>
    </row>
    <row r="64" spans="1:23" ht="34" x14ac:dyDescent="0.2">
      <c r="A64" s="21"/>
      <c r="B64" s="21" t="s">
        <v>29</v>
      </c>
      <c r="C64" s="28" t="s">
        <v>213</v>
      </c>
      <c r="D64" s="21" t="s">
        <v>4</v>
      </c>
      <c r="E64" s="21" t="s">
        <v>176</v>
      </c>
      <c r="F64" s="21" t="s">
        <v>199</v>
      </c>
      <c r="G64" s="22" t="s">
        <v>198</v>
      </c>
      <c r="H64" s="26" t="s">
        <v>209</v>
      </c>
      <c r="I64" s="21" t="s">
        <v>85</v>
      </c>
      <c r="J64" s="21" t="s">
        <v>26</v>
      </c>
      <c r="K64" s="24">
        <v>14.42</v>
      </c>
      <c r="L64" s="24">
        <v>9.51</v>
      </c>
      <c r="M64" s="24">
        <v>4.07</v>
      </c>
      <c r="N64" s="24">
        <v>5.42</v>
      </c>
      <c r="O64" s="24">
        <v>10.5</v>
      </c>
      <c r="P64" s="24">
        <v>21.03</v>
      </c>
      <c r="Q64" s="21" t="s">
        <v>27</v>
      </c>
      <c r="R64" s="27" t="s">
        <v>27</v>
      </c>
      <c r="S64" s="21" t="s">
        <v>27</v>
      </c>
      <c r="T64" s="24">
        <v>83</v>
      </c>
      <c r="U64" s="21"/>
      <c r="V64" s="21"/>
      <c r="W64" s="25" t="s">
        <v>87</v>
      </c>
    </row>
    <row r="65" spans="1:23" ht="34" x14ac:dyDescent="0.2">
      <c r="A65" s="21"/>
      <c r="B65" s="21" t="s">
        <v>29</v>
      </c>
      <c r="C65" s="28" t="s">
        <v>213</v>
      </c>
      <c r="D65" s="21" t="s">
        <v>4</v>
      </c>
      <c r="E65" s="21" t="s">
        <v>176</v>
      </c>
      <c r="F65" s="21" t="s">
        <v>180</v>
      </c>
      <c r="G65" s="22" t="s">
        <v>181</v>
      </c>
      <c r="H65" s="26" t="s">
        <v>209</v>
      </c>
      <c r="I65" s="21" t="s">
        <v>85</v>
      </c>
      <c r="J65" s="21" t="s">
        <v>27</v>
      </c>
      <c r="K65" s="24">
        <v>13.94</v>
      </c>
      <c r="L65" s="24">
        <v>9.31</v>
      </c>
      <c r="M65" s="24">
        <v>4.51</v>
      </c>
      <c r="N65" s="24">
        <v>4.66</v>
      </c>
      <c r="O65" s="24">
        <v>9.73</v>
      </c>
      <c r="P65" s="24">
        <v>20.55</v>
      </c>
      <c r="Q65" s="24">
        <v>80</v>
      </c>
      <c r="R65" s="23">
        <f t="shared" ref="R65:R71" si="2">Q65-S65</f>
        <v>67.37</v>
      </c>
      <c r="S65" s="24">
        <v>12.63</v>
      </c>
      <c r="T65" s="24">
        <v>71</v>
      </c>
      <c r="U65" s="21"/>
      <c r="V65" s="21"/>
      <c r="W65" s="25" t="s">
        <v>87</v>
      </c>
    </row>
    <row r="66" spans="1:23" ht="34" x14ac:dyDescent="0.2">
      <c r="A66" s="21"/>
      <c r="B66" s="21" t="s">
        <v>29</v>
      </c>
      <c r="C66" s="28" t="s">
        <v>213</v>
      </c>
      <c r="D66" s="21" t="s">
        <v>4</v>
      </c>
      <c r="E66" s="21" t="s">
        <v>176</v>
      </c>
      <c r="F66" s="21" t="s">
        <v>179</v>
      </c>
      <c r="G66" s="22" t="s">
        <v>27</v>
      </c>
      <c r="H66" s="22" t="s">
        <v>27</v>
      </c>
      <c r="I66" s="21" t="s">
        <v>85</v>
      </c>
      <c r="J66" s="21" t="s">
        <v>27</v>
      </c>
      <c r="K66" s="24">
        <v>16.14</v>
      </c>
      <c r="L66" s="24">
        <v>10.44</v>
      </c>
      <c r="M66" s="24">
        <v>4.83</v>
      </c>
      <c r="N66" s="24" t="s">
        <v>27</v>
      </c>
      <c r="O66" s="24">
        <v>9.75</v>
      </c>
      <c r="P66" s="24">
        <v>20.98</v>
      </c>
      <c r="Q66" s="24">
        <v>83.5</v>
      </c>
      <c r="R66" s="23">
        <f t="shared" si="2"/>
        <v>70.97</v>
      </c>
      <c r="S66" s="24">
        <v>12.53</v>
      </c>
      <c r="T66" s="24">
        <v>78</v>
      </c>
      <c r="U66" s="21"/>
      <c r="V66" s="21" t="s">
        <v>203</v>
      </c>
      <c r="W66" s="25" t="s">
        <v>87</v>
      </c>
    </row>
    <row r="67" spans="1:23" ht="34" x14ac:dyDescent="0.2">
      <c r="A67" s="21"/>
      <c r="B67" s="21" t="s">
        <v>29</v>
      </c>
      <c r="C67" s="28" t="s">
        <v>213</v>
      </c>
      <c r="D67" s="21" t="s">
        <v>4</v>
      </c>
      <c r="E67" s="21" t="s">
        <v>176</v>
      </c>
      <c r="F67" s="21" t="s">
        <v>188</v>
      </c>
      <c r="G67" s="22" t="s">
        <v>27</v>
      </c>
      <c r="H67" s="22" t="s">
        <v>27</v>
      </c>
      <c r="I67" s="21" t="s">
        <v>85</v>
      </c>
      <c r="J67" s="21" t="s">
        <v>27</v>
      </c>
      <c r="K67" s="24">
        <v>15.45</v>
      </c>
      <c r="L67" s="24">
        <v>9.23</v>
      </c>
      <c r="M67" s="24">
        <v>4.1100000000000003</v>
      </c>
      <c r="N67" s="24">
        <v>5.03</v>
      </c>
      <c r="O67" s="24">
        <v>10.210000000000001</v>
      </c>
      <c r="P67" s="24">
        <v>20.74</v>
      </c>
      <c r="Q67" s="24">
        <v>83.5</v>
      </c>
      <c r="R67" s="23">
        <f t="shared" si="2"/>
        <v>69.099999999999994</v>
      </c>
      <c r="S67" s="24">
        <v>14.4</v>
      </c>
      <c r="T67" s="24">
        <v>75</v>
      </c>
      <c r="U67" s="21"/>
      <c r="V67" s="21"/>
      <c r="W67" s="25" t="s">
        <v>87</v>
      </c>
    </row>
    <row r="68" spans="1:23" ht="34" x14ac:dyDescent="0.2">
      <c r="A68" s="21"/>
      <c r="B68" s="21" t="s">
        <v>29</v>
      </c>
      <c r="C68" s="28" t="s">
        <v>213</v>
      </c>
      <c r="D68" s="21" t="s">
        <v>4</v>
      </c>
      <c r="E68" s="21" t="s">
        <v>176</v>
      </c>
      <c r="F68" s="21" t="s">
        <v>184</v>
      </c>
      <c r="G68" s="22" t="s">
        <v>27</v>
      </c>
      <c r="H68" s="22" t="s">
        <v>27</v>
      </c>
      <c r="I68" s="21" t="s">
        <v>85</v>
      </c>
      <c r="J68" s="21" t="s">
        <v>27</v>
      </c>
      <c r="K68" s="24">
        <v>15.01</v>
      </c>
      <c r="L68" s="24">
        <v>9.19</v>
      </c>
      <c r="M68" s="24">
        <v>4.96</v>
      </c>
      <c r="N68" s="24">
        <v>5.0599999999999996</v>
      </c>
      <c r="O68" s="24">
        <v>10.75</v>
      </c>
      <c r="P68" s="24">
        <v>21.5</v>
      </c>
      <c r="Q68" s="24">
        <v>85</v>
      </c>
      <c r="R68" s="23">
        <f t="shared" si="2"/>
        <v>71.61</v>
      </c>
      <c r="S68" s="24">
        <v>13.39</v>
      </c>
      <c r="T68" s="24">
        <v>75</v>
      </c>
      <c r="U68" s="21"/>
      <c r="V68" s="21"/>
      <c r="W68" s="25" t="s">
        <v>87</v>
      </c>
    </row>
    <row r="69" spans="1:23" ht="34" x14ac:dyDescent="0.2">
      <c r="A69" s="21"/>
      <c r="B69" s="21" t="s">
        <v>29</v>
      </c>
      <c r="C69" s="28" t="s">
        <v>213</v>
      </c>
      <c r="D69" s="21" t="s">
        <v>4</v>
      </c>
      <c r="E69" s="21" t="s">
        <v>176</v>
      </c>
      <c r="F69" s="21" t="s">
        <v>187</v>
      </c>
      <c r="G69" s="22" t="s">
        <v>27</v>
      </c>
      <c r="H69" s="22" t="s">
        <v>27</v>
      </c>
      <c r="I69" s="21" t="s">
        <v>85</v>
      </c>
      <c r="J69" s="21" t="s">
        <v>27</v>
      </c>
      <c r="K69" s="24">
        <v>15.2</v>
      </c>
      <c r="L69" s="24">
        <v>9.9</v>
      </c>
      <c r="M69" s="24">
        <v>4.37</v>
      </c>
      <c r="N69" s="24">
        <v>5.46</v>
      </c>
      <c r="O69" s="24">
        <v>10.75</v>
      </c>
      <c r="P69" s="24">
        <v>20.329999999999998</v>
      </c>
      <c r="Q69" s="24">
        <v>83</v>
      </c>
      <c r="R69" s="23">
        <f t="shared" si="2"/>
        <v>69.599999999999994</v>
      </c>
      <c r="S69" s="24">
        <v>13.4</v>
      </c>
      <c r="T69" s="24">
        <v>80</v>
      </c>
      <c r="U69" s="21"/>
      <c r="V69" s="21"/>
      <c r="W69" s="25" t="s">
        <v>87</v>
      </c>
    </row>
    <row r="70" spans="1:23" ht="34" x14ac:dyDescent="0.2">
      <c r="A70" s="21"/>
      <c r="B70" s="21" t="s">
        <v>29</v>
      </c>
      <c r="C70" s="28" t="s">
        <v>213</v>
      </c>
      <c r="D70" s="21" t="s">
        <v>4</v>
      </c>
      <c r="E70" s="21" t="s">
        <v>176</v>
      </c>
      <c r="F70" s="21" t="s">
        <v>182</v>
      </c>
      <c r="G70" s="22" t="s">
        <v>210</v>
      </c>
      <c r="H70" s="21" t="s">
        <v>183</v>
      </c>
      <c r="I70" s="21" t="s">
        <v>85</v>
      </c>
      <c r="J70" s="21" t="s">
        <v>25</v>
      </c>
      <c r="K70" s="24">
        <v>13.63</v>
      </c>
      <c r="L70" s="24">
        <v>8.8800000000000008</v>
      </c>
      <c r="M70" s="24">
        <v>4.3499999999999996</v>
      </c>
      <c r="N70" s="24">
        <v>4.67</v>
      </c>
      <c r="O70" s="24">
        <v>9.92</v>
      </c>
      <c r="P70" s="24">
        <v>21.59</v>
      </c>
      <c r="Q70" s="24">
        <v>82</v>
      </c>
      <c r="R70" s="23">
        <f t="shared" si="2"/>
        <v>68.92</v>
      </c>
      <c r="S70" s="24">
        <v>13.08</v>
      </c>
      <c r="T70" s="24">
        <v>75</v>
      </c>
      <c r="U70" s="21"/>
      <c r="V70" s="21"/>
      <c r="W70" s="25" t="s">
        <v>87</v>
      </c>
    </row>
    <row r="71" spans="1:23" ht="34" x14ac:dyDescent="0.2">
      <c r="A71" s="21"/>
      <c r="B71" s="21" t="s">
        <v>29</v>
      </c>
      <c r="C71" s="28" t="s">
        <v>213</v>
      </c>
      <c r="D71" s="21" t="s">
        <v>4</v>
      </c>
      <c r="E71" s="21" t="s">
        <v>176</v>
      </c>
      <c r="F71" s="21" t="s">
        <v>194</v>
      </c>
      <c r="G71" s="22" t="s">
        <v>195</v>
      </c>
      <c r="H71" s="26" t="s">
        <v>206</v>
      </c>
      <c r="I71" s="21" t="s">
        <v>85</v>
      </c>
      <c r="J71" s="21" t="s">
        <v>25</v>
      </c>
      <c r="K71" s="24">
        <v>14.94</v>
      </c>
      <c r="L71" s="24">
        <v>9.24</v>
      </c>
      <c r="M71" s="24">
        <v>4.07</v>
      </c>
      <c r="N71" s="24">
        <v>5.29</v>
      </c>
      <c r="O71" s="24">
        <v>11.06</v>
      </c>
      <c r="P71" s="24">
        <v>19.440000000000001</v>
      </c>
      <c r="Q71" s="24">
        <v>86</v>
      </c>
      <c r="R71" s="23">
        <f t="shared" si="2"/>
        <v>73.319999999999993</v>
      </c>
      <c r="S71" s="24">
        <v>12.68</v>
      </c>
      <c r="T71" s="24">
        <v>82</v>
      </c>
      <c r="U71" s="21"/>
      <c r="V71" s="21"/>
      <c r="W71" s="25" t="s">
        <v>87</v>
      </c>
    </row>
    <row r="72" spans="1:23" ht="34" x14ac:dyDescent="0.2">
      <c r="A72" s="21"/>
      <c r="B72" s="21" t="s">
        <v>29</v>
      </c>
      <c r="C72" s="28" t="s">
        <v>213</v>
      </c>
      <c r="D72" s="21" t="s">
        <v>4</v>
      </c>
      <c r="E72" s="21" t="s">
        <v>176</v>
      </c>
      <c r="F72" s="21" t="s">
        <v>200</v>
      </c>
      <c r="G72" s="22" t="s">
        <v>201</v>
      </c>
      <c r="H72" s="22" t="s">
        <v>27</v>
      </c>
      <c r="I72" s="21" t="s">
        <v>85</v>
      </c>
      <c r="J72" s="21" t="s">
        <v>27</v>
      </c>
      <c r="K72" s="24">
        <v>14.98</v>
      </c>
      <c r="L72" s="24">
        <v>9.33</v>
      </c>
      <c r="M72" s="24">
        <v>4.37</v>
      </c>
      <c r="N72" s="24">
        <v>5.05</v>
      </c>
      <c r="O72" s="24">
        <v>10.64</v>
      </c>
      <c r="P72" s="24">
        <v>19.97</v>
      </c>
      <c r="Q72" s="21" t="s">
        <v>27</v>
      </c>
      <c r="R72" s="27" t="s">
        <v>27</v>
      </c>
      <c r="S72" s="21" t="s">
        <v>27</v>
      </c>
      <c r="T72" s="24">
        <v>79</v>
      </c>
      <c r="U72" s="21"/>
      <c r="V72" s="21" t="s">
        <v>212</v>
      </c>
      <c r="W72" s="25" t="s">
        <v>87</v>
      </c>
    </row>
    <row r="73" spans="1:23" ht="34" x14ac:dyDescent="0.2">
      <c r="A73" s="21"/>
      <c r="B73" s="21" t="s">
        <v>29</v>
      </c>
      <c r="C73" s="28" t="s">
        <v>213</v>
      </c>
      <c r="D73" s="21" t="s">
        <v>4</v>
      </c>
      <c r="E73" s="21" t="s">
        <v>176</v>
      </c>
      <c r="F73" s="21" t="s">
        <v>178</v>
      </c>
      <c r="G73" s="22" t="s">
        <v>27</v>
      </c>
      <c r="H73" s="21" t="s">
        <v>43</v>
      </c>
      <c r="I73" s="21" t="s">
        <v>85</v>
      </c>
      <c r="J73" s="21" t="s">
        <v>27</v>
      </c>
      <c r="K73" s="24">
        <v>12.91</v>
      </c>
      <c r="L73" s="24">
        <v>8.74</v>
      </c>
      <c r="M73" s="24">
        <v>4.34</v>
      </c>
      <c r="N73" s="24">
        <v>4.87</v>
      </c>
      <c r="O73" s="24">
        <v>10.210000000000001</v>
      </c>
      <c r="P73" s="24">
        <v>18.98</v>
      </c>
      <c r="Q73" s="24">
        <v>85.5</v>
      </c>
      <c r="R73" s="23">
        <f>Q73-S73</f>
        <v>71.52</v>
      </c>
      <c r="S73" s="24">
        <v>13.98</v>
      </c>
      <c r="T73" s="24">
        <v>81</v>
      </c>
      <c r="U73" s="21"/>
      <c r="V73" s="21" t="s">
        <v>211</v>
      </c>
      <c r="W73" s="25" t="s">
        <v>87</v>
      </c>
    </row>
    <row r="74" spans="1:23" ht="16" x14ac:dyDescent="0.2">
      <c r="A74" s="11"/>
      <c r="B74" s="11"/>
      <c r="C74" s="11"/>
      <c r="D74" s="11"/>
      <c r="E74" s="11"/>
      <c r="F74" s="11"/>
      <c r="G74" s="16"/>
      <c r="H74" s="11"/>
      <c r="I74" s="11"/>
      <c r="J74" s="11"/>
      <c r="K74" s="12"/>
      <c r="L74" s="12"/>
      <c r="M74" s="12"/>
      <c r="N74" s="12"/>
      <c r="O74" s="12"/>
      <c r="P74" s="12"/>
      <c r="Q74" s="12"/>
      <c r="R74" s="12"/>
      <c r="S74" s="12"/>
      <c r="T74" s="15"/>
      <c r="U74" s="11"/>
      <c r="V74" s="11"/>
      <c r="W74" s="17"/>
    </row>
    <row r="75" spans="1:23" ht="16" x14ac:dyDescent="0.2">
      <c r="A75" s="11"/>
      <c r="B75" s="11"/>
      <c r="C75" s="11"/>
      <c r="D75" s="11"/>
      <c r="E75" s="11"/>
      <c r="F75" s="11"/>
      <c r="G75" s="16"/>
      <c r="H75" s="11"/>
      <c r="I75" s="11"/>
      <c r="J75" s="11"/>
      <c r="K75" s="12"/>
      <c r="L75" s="12"/>
      <c r="M75" s="12"/>
      <c r="N75" s="12"/>
      <c r="O75" s="12"/>
      <c r="P75" s="12"/>
      <c r="Q75" s="12"/>
      <c r="R75" s="12"/>
      <c r="S75" s="12"/>
      <c r="T75" s="15"/>
      <c r="U75" s="11"/>
      <c r="V75" s="11"/>
      <c r="W75" s="17"/>
    </row>
    <row r="76" spans="1:23" ht="16" x14ac:dyDescent="0.2">
      <c r="A76" s="11"/>
      <c r="B76" s="11"/>
      <c r="C76" s="11"/>
      <c r="D76" s="11"/>
      <c r="E76" s="11"/>
      <c r="F76" s="11"/>
      <c r="G76" s="16"/>
      <c r="H76" s="11"/>
      <c r="I76" s="11"/>
      <c r="J76" s="11"/>
      <c r="K76" s="12"/>
      <c r="L76" s="12"/>
      <c r="M76" s="12"/>
      <c r="N76" s="12"/>
      <c r="O76" s="12"/>
      <c r="P76" s="12"/>
      <c r="Q76" s="12"/>
      <c r="R76" s="12"/>
      <c r="S76" s="12"/>
      <c r="T76" s="15"/>
      <c r="U76" s="11"/>
      <c r="V76" s="11"/>
      <c r="W76" s="17"/>
    </row>
    <row r="77" spans="1:23" ht="16" x14ac:dyDescent="0.2">
      <c r="A77" s="11"/>
      <c r="B77" s="11"/>
      <c r="C77" s="11"/>
      <c r="D77" s="11"/>
      <c r="E77" s="11"/>
      <c r="F77" s="11"/>
      <c r="G77" s="16"/>
      <c r="H77" s="11"/>
      <c r="I77" s="11"/>
      <c r="J77" s="11"/>
      <c r="K77" s="12"/>
      <c r="L77" s="12"/>
      <c r="M77" s="12"/>
      <c r="N77" s="12"/>
      <c r="O77" s="12"/>
      <c r="P77" s="12"/>
      <c r="Q77" s="12"/>
      <c r="R77" s="12"/>
      <c r="S77" s="12"/>
      <c r="T77" s="15"/>
      <c r="U77" s="11"/>
      <c r="V77" s="11"/>
      <c r="W77" s="17"/>
    </row>
    <row r="78" spans="1:23" ht="16" x14ac:dyDescent="0.2">
      <c r="A78" s="11"/>
      <c r="B78" s="11"/>
      <c r="C78" s="11"/>
      <c r="D78" s="11"/>
      <c r="E78" s="11"/>
      <c r="F78" s="11"/>
      <c r="G78" s="16"/>
      <c r="H78" s="11"/>
      <c r="I78" s="11"/>
      <c r="J78" s="11"/>
      <c r="K78" s="12"/>
      <c r="L78" s="12"/>
      <c r="M78" s="12"/>
      <c r="N78" s="12"/>
      <c r="O78" s="12"/>
      <c r="P78" s="12"/>
      <c r="Q78" s="12"/>
      <c r="R78" s="12"/>
      <c r="S78" s="12"/>
      <c r="T78" s="15"/>
      <c r="U78" s="11"/>
      <c r="V78" s="11"/>
      <c r="W78" s="17"/>
    </row>
    <row r="79" spans="1:23" ht="16" x14ac:dyDescent="0.2">
      <c r="A79" s="11"/>
      <c r="B79" s="11"/>
      <c r="C79" s="11"/>
      <c r="D79" s="11"/>
      <c r="E79" s="11"/>
      <c r="F79" s="11"/>
      <c r="G79" s="16"/>
      <c r="H79" s="11"/>
      <c r="I79" s="11"/>
      <c r="J79" s="11"/>
      <c r="K79" s="12"/>
      <c r="L79" s="12"/>
      <c r="M79" s="12"/>
      <c r="N79" s="12"/>
      <c r="O79" s="12"/>
      <c r="P79" s="12"/>
      <c r="Q79" s="12"/>
      <c r="R79" s="12"/>
      <c r="S79" s="12"/>
      <c r="T79" s="15"/>
      <c r="U79" s="11"/>
      <c r="V79" s="11"/>
      <c r="W79" s="17"/>
    </row>
    <row r="80" spans="1:23" ht="16" x14ac:dyDescent="0.2">
      <c r="A80" s="11"/>
      <c r="B80" s="11"/>
      <c r="C80" s="11"/>
      <c r="D80" s="11"/>
      <c r="E80" s="11"/>
      <c r="F80" s="11"/>
      <c r="G80" s="16"/>
      <c r="H80" s="11"/>
      <c r="I80" s="11"/>
      <c r="J80" s="11"/>
      <c r="K80" s="12"/>
      <c r="L80" s="12"/>
      <c r="M80" s="12"/>
      <c r="N80" s="12"/>
      <c r="O80" s="12"/>
      <c r="P80" s="12"/>
      <c r="Q80" s="12"/>
      <c r="R80" s="12"/>
      <c r="S80" s="12"/>
      <c r="T80" s="15"/>
      <c r="U80" s="11"/>
      <c r="V80" s="11"/>
      <c r="W80" s="17"/>
    </row>
    <row r="81" spans="1:23" ht="16" x14ac:dyDescent="0.2">
      <c r="A81" s="11"/>
      <c r="B81" s="11"/>
      <c r="C81" s="11"/>
      <c r="D81" s="11"/>
      <c r="E81" s="11"/>
      <c r="F81" s="11"/>
      <c r="G81" s="16"/>
      <c r="H81" s="11"/>
      <c r="I81" s="11"/>
      <c r="J81" s="11"/>
      <c r="K81" s="12"/>
      <c r="L81" s="12"/>
      <c r="M81" s="12"/>
      <c r="N81" s="12"/>
      <c r="O81" s="12"/>
      <c r="P81" s="12"/>
      <c r="Q81" s="12"/>
      <c r="R81" s="12"/>
      <c r="S81" s="12"/>
      <c r="T81" s="15"/>
      <c r="U81" s="11"/>
      <c r="V81" s="11"/>
      <c r="W81" s="17"/>
    </row>
    <row r="82" spans="1:23" ht="16" x14ac:dyDescent="0.2">
      <c r="A82" s="11"/>
      <c r="B82" s="11"/>
      <c r="C82" s="11"/>
      <c r="D82" s="11"/>
      <c r="E82" s="11"/>
      <c r="F82" s="11"/>
      <c r="G82" s="16"/>
      <c r="H82" s="11"/>
      <c r="I82" s="11"/>
      <c r="J82" s="11"/>
      <c r="K82" s="12"/>
      <c r="L82" s="12"/>
      <c r="M82" s="12"/>
      <c r="N82" s="12"/>
      <c r="O82" s="12"/>
      <c r="P82" s="12"/>
      <c r="Q82" s="12"/>
      <c r="R82" s="12"/>
      <c r="S82" s="12"/>
      <c r="T82" s="15"/>
      <c r="U82" s="11"/>
      <c r="V82" s="11"/>
      <c r="W82" s="17"/>
    </row>
    <row r="83" spans="1:23" ht="16" x14ac:dyDescent="0.2">
      <c r="A83" s="11"/>
      <c r="B83" s="11"/>
      <c r="C83" s="11"/>
      <c r="D83" s="11"/>
      <c r="E83" s="11"/>
      <c r="F83" s="11"/>
      <c r="G83" s="16"/>
      <c r="H83" s="11"/>
      <c r="I83" s="11"/>
      <c r="J83" s="11"/>
      <c r="K83" s="12"/>
      <c r="L83" s="12"/>
      <c r="M83" s="12"/>
      <c r="N83" s="12"/>
      <c r="O83" s="12"/>
      <c r="P83" s="12"/>
      <c r="Q83" s="12"/>
      <c r="R83" s="12"/>
      <c r="S83" s="12"/>
      <c r="T83" s="15"/>
      <c r="U83" s="11"/>
      <c r="V83" s="11"/>
      <c r="W83" s="17"/>
    </row>
    <row r="84" spans="1:23" ht="16" x14ac:dyDescent="0.2">
      <c r="A84" s="11"/>
      <c r="B84" s="11"/>
      <c r="C84" s="11"/>
      <c r="D84" s="11"/>
      <c r="E84" s="11"/>
      <c r="F84" s="11"/>
      <c r="G84" s="16"/>
      <c r="H84" s="11"/>
      <c r="I84" s="11"/>
      <c r="J84" s="11"/>
      <c r="K84" s="12"/>
      <c r="L84" s="12"/>
      <c r="M84" s="12"/>
      <c r="N84" s="12"/>
      <c r="O84" s="12"/>
      <c r="P84" s="12"/>
      <c r="Q84" s="12"/>
      <c r="R84" s="12"/>
      <c r="S84" s="12"/>
      <c r="T84" s="15"/>
      <c r="U84" s="11"/>
      <c r="V84" s="11"/>
      <c r="W84" s="17"/>
    </row>
    <row r="85" spans="1:23" ht="16" x14ac:dyDescent="0.2">
      <c r="A85" s="11"/>
      <c r="B85" s="11"/>
      <c r="C85" s="11"/>
      <c r="D85" s="11"/>
      <c r="E85" s="11"/>
      <c r="F85" s="11"/>
      <c r="G85" s="16"/>
      <c r="H85" s="11"/>
      <c r="I85" s="11"/>
      <c r="J85" s="11"/>
      <c r="K85" s="12"/>
      <c r="L85" s="12"/>
      <c r="M85" s="12"/>
      <c r="N85" s="12"/>
      <c r="O85" s="12"/>
      <c r="P85" s="12"/>
      <c r="Q85" s="12"/>
      <c r="R85" s="12"/>
      <c r="S85" s="12"/>
      <c r="T85" s="15"/>
      <c r="U85" s="11"/>
      <c r="V85" s="11"/>
      <c r="W85" s="17"/>
    </row>
    <row r="86" spans="1:23" ht="16" x14ac:dyDescent="0.2">
      <c r="A86" s="11"/>
      <c r="B86" s="11"/>
      <c r="C86" s="11"/>
      <c r="D86" s="11"/>
      <c r="E86" s="11"/>
      <c r="F86" s="11"/>
      <c r="G86" s="16"/>
      <c r="H86" s="11"/>
      <c r="I86" s="11"/>
      <c r="J86" s="11"/>
      <c r="K86" s="12"/>
      <c r="L86" s="12"/>
      <c r="M86" s="12"/>
      <c r="N86" s="12"/>
      <c r="O86" s="12"/>
      <c r="P86" s="12"/>
      <c r="Q86" s="12"/>
      <c r="R86" s="12"/>
      <c r="S86" s="12"/>
      <c r="T86" s="15"/>
      <c r="U86" s="11"/>
      <c r="V86" s="11"/>
      <c r="W86" s="17"/>
    </row>
    <row r="87" spans="1:23" ht="16" x14ac:dyDescent="0.2">
      <c r="A87" s="11"/>
      <c r="B87" s="11"/>
      <c r="C87" s="11"/>
      <c r="D87" s="11"/>
      <c r="E87" s="11"/>
      <c r="F87" s="11"/>
      <c r="G87" s="16"/>
      <c r="H87" s="11"/>
      <c r="I87" s="11"/>
      <c r="J87" s="11"/>
      <c r="K87" s="12"/>
      <c r="L87" s="12"/>
      <c r="M87" s="12"/>
      <c r="N87" s="12"/>
      <c r="O87" s="12"/>
      <c r="P87" s="12"/>
      <c r="Q87" s="12"/>
      <c r="R87" s="12"/>
      <c r="S87" s="12"/>
      <c r="T87" s="15"/>
      <c r="U87" s="11"/>
      <c r="V87" s="11"/>
      <c r="W87" s="17"/>
    </row>
    <row r="88" spans="1:23" ht="16" x14ac:dyDescent="0.2">
      <c r="A88" s="11"/>
      <c r="B88" s="11"/>
      <c r="C88" s="11"/>
      <c r="D88" s="11"/>
      <c r="E88" s="11"/>
      <c r="F88" s="11"/>
      <c r="G88" s="16"/>
      <c r="H88" s="11"/>
      <c r="I88" s="11"/>
      <c r="J88" s="11"/>
      <c r="K88" s="12"/>
      <c r="L88" s="12"/>
      <c r="M88" s="12"/>
      <c r="N88" s="12"/>
      <c r="O88" s="12"/>
      <c r="P88" s="12"/>
      <c r="Q88" s="12"/>
      <c r="R88" s="12"/>
      <c r="S88" s="12"/>
      <c r="T88" s="15"/>
      <c r="U88" s="11"/>
      <c r="V88" s="11"/>
      <c r="W88" s="17"/>
    </row>
    <row r="89" spans="1:23" ht="16" x14ac:dyDescent="0.2">
      <c r="A89" s="11"/>
      <c r="B89" s="11"/>
      <c r="C89" s="11"/>
      <c r="D89" s="11"/>
      <c r="E89" s="11"/>
      <c r="F89" s="11"/>
      <c r="G89" s="16"/>
      <c r="H89" s="11"/>
      <c r="I89" s="11"/>
      <c r="J89" s="11"/>
      <c r="K89" s="12"/>
      <c r="L89" s="12"/>
      <c r="M89" s="12"/>
      <c r="N89" s="12"/>
      <c r="O89" s="12"/>
      <c r="P89" s="12"/>
      <c r="Q89" s="12"/>
      <c r="R89" s="12"/>
      <c r="S89" s="12"/>
      <c r="T89" s="15"/>
      <c r="U89" s="11"/>
      <c r="V89" s="11"/>
      <c r="W89" s="17"/>
    </row>
    <row r="90" spans="1:23" ht="16" x14ac:dyDescent="0.2">
      <c r="A90" s="11"/>
      <c r="B90" s="11"/>
      <c r="C90" s="11"/>
      <c r="D90" s="11"/>
      <c r="E90" s="11"/>
      <c r="F90" s="11"/>
      <c r="G90" s="16"/>
      <c r="H90" s="11"/>
      <c r="I90" s="11"/>
      <c r="J90" s="11"/>
      <c r="K90" s="12"/>
      <c r="L90" s="12"/>
      <c r="M90" s="12"/>
      <c r="N90" s="12"/>
      <c r="O90" s="12"/>
      <c r="P90" s="12"/>
      <c r="Q90" s="12"/>
      <c r="R90" s="12"/>
      <c r="S90" s="12"/>
      <c r="T90" s="15"/>
      <c r="U90" s="11"/>
      <c r="V90" s="11"/>
      <c r="W90" s="17"/>
    </row>
    <row r="91" spans="1:23" ht="16" x14ac:dyDescent="0.2">
      <c r="A91" s="11"/>
      <c r="B91" s="11"/>
      <c r="C91" s="11"/>
      <c r="D91" s="11"/>
      <c r="E91" s="11"/>
      <c r="F91" s="11"/>
      <c r="G91" s="16"/>
      <c r="H91" s="11"/>
      <c r="I91" s="11"/>
      <c r="J91" s="11"/>
      <c r="K91" s="12"/>
      <c r="L91" s="12"/>
      <c r="M91" s="12"/>
      <c r="N91" s="12"/>
      <c r="O91" s="12"/>
      <c r="P91" s="12"/>
      <c r="Q91" s="12"/>
      <c r="R91" s="12"/>
      <c r="S91" s="12"/>
      <c r="T91" s="15"/>
      <c r="U91" s="11"/>
      <c r="V91" s="11"/>
      <c r="W91" s="17"/>
    </row>
    <row r="92" spans="1:23" ht="16" x14ac:dyDescent="0.2">
      <c r="A92" s="11"/>
      <c r="B92" s="11"/>
      <c r="C92" s="11"/>
      <c r="D92" s="11"/>
      <c r="E92" s="11"/>
      <c r="F92" s="11"/>
      <c r="G92" s="16"/>
      <c r="H92" s="11"/>
      <c r="I92" s="11"/>
      <c r="J92" s="11"/>
      <c r="K92" s="12"/>
      <c r="L92" s="12"/>
      <c r="M92" s="12"/>
      <c r="N92" s="12"/>
      <c r="O92" s="12"/>
      <c r="P92" s="12"/>
      <c r="Q92" s="12"/>
      <c r="R92" s="12"/>
      <c r="S92" s="12"/>
      <c r="T92" s="15"/>
      <c r="U92" s="11"/>
      <c r="V92" s="11"/>
      <c r="W92" s="17"/>
    </row>
    <row r="93" spans="1:23" ht="16" x14ac:dyDescent="0.2">
      <c r="A93" s="11"/>
      <c r="B93" s="11"/>
      <c r="C93" s="11"/>
      <c r="D93" s="11"/>
      <c r="E93" s="11"/>
      <c r="F93" s="11"/>
      <c r="G93" s="16"/>
      <c r="H93" s="11"/>
      <c r="I93" s="11"/>
      <c r="J93" s="11"/>
      <c r="K93" s="12"/>
      <c r="L93" s="12"/>
      <c r="M93" s="12"/>
      <c r="N93" s="12"/>
      <c r="O93" s="12"/>
      <c r="P93" s="12"/>
      <c r="Q93" s="12"/>
      <c r="R93" s="12"/>
      <c r="S93" s="12"/>
      <c r="T93" s="15"/>
      <c r="U93" s="11"/>
      <c r="V93" s="11"/>
      <c r="W93" s="17"/>
    </row>
    <row r="94" spans="1:23" ht="16" x14ac:dyDescent="0.2">
      <c r="A94" s="11"/>
      <c r="B94" s="11"/>
      <c r="C94" s="11"/>
      <c r="D94" s="11"/>
      <c r="E94" s="11"/>
      <c r="F94" s="11"/>
      <c r="G94" s="16"/>
      <c r="H94" s="11"/>
      <c r="I94" s="11"/>
      <c r="J94" s="11"/>
      <c r="K94" s="12"/>
      <c r="L94" s="12"/>
      <c r="M94" s="12"/>
      <c r="N94" s="12"/>
      <c r="O94" s="12"/>
      <c r="P94" s="12"/>
      <c r="Q94" s="12"/>
      <c r="R94" s="12"/>
      <c r="S94" s="12"/>
      <c r="T94" s="15"/>
      <c r="U94" s="11"/>
      <c r="V94" s="11"/>
      <c r="W94" s="17"/>
    </row>
    <row r="95" spans="1:23" x14ac:dyDescent="0.2">
      <c r="G95" s="18"/>
    </row>
    <row r="96" spans="1:23" x14ac:dyDescent="0.2">
      <c r="G96" s="18"/>
    </row>
    <row r="97" spans="7:7" x14ac:dyDescent="0.2">
      <c r="G97" s="18"/>
    </row>
    <row r="98" spans="7:7" x14ac:dyDescent="0.2">
      <c r="G98" s="18"/>
    </row>
    <row r="99" spans="7:7" x14ac:dyDescent="0.2">
      <c r="G99" s="18"/>
    </row>
    <row r="100" spans="7:7" x14ac:dyDescent="0.2">
      <c r="G100" s="18"/>
    </row>
    <row r="101" spans="7:7" x14ac:dyDescent="0.2">
      <c r="G101" s="18"/>
    </row>
    <row r="102" spans="7:7" x14ac:dyDescent="0.2">
      <c r="G102" s="18"/>
    </row>
    <row r="103" spans="7:7" x14ac:dyDescent="0.2">
      <c r="G103" s="18"/>
    </row>
    <row r="104" spans="7:7" x14ac:dyDescent="0.2">
      <c r="G104" s="18"/>
    </row>
    <row r="105" spans="7:7" x14ac:dyDescent="0.2">
      <c r="G105" s="18"/>
    </row>
    <row r="106" spans="7:7" x14ac:dyDescent="0.2">
      <c r="G106" s="18"/>
    </row>
    <row r="107" spans="7:7" x14ac:dyDescent="0.2">
      <c r="G107" s="18"/>
    </row>
    <row r="108" spans="7:7" x14ac:dyDescent="0.2">
      <c r="G108" s="18"/>
    </row>
    <row r="109" spans="7:7" x14ac:dyDescent="0.2">
      <c r="G109" s="18"/>
    </row>
    <row r="110" spans="7:7" x14ac:dyDescent="0.2">
      <c r="G110" s="18"/>
    </row>
    <row r="111" spans="7:7" x14ac:dyDescent="0.2">
      <c r="G111" s="18"/>
    </row>
    <row r="112" spans="7:7" x14ac:dyDescent="0.2">
      <c r="G112" s="18"/>
    </row>
    <row r="113" spans="7:7" x14ac:dyDescent="0.2">
      <c r="G113" s="18"/>
    </row>
    <row r="114" spans="7:7" x14ac:dyDescent="0.2">
      <c r="G114" s="18"/>
    </row>
    <row r="115" spans="7:7" x14ac:dyDescent="0.2">
      <c r="G115" s="18"/>
    </row>
    <row r="116" spans="7:7" x14ac:dyDescent="0.2">
      <c r="G116" s="18"/>
    </row>
    <row r="117" spans="7:7" x14ac:dyDescent="0.2">
      <c r="G117" s="18"/>
    </row>
    <row r="118" spans="7:7" x14ac:dyDescent="0.2">
      <c r="G118" s="18"/>
    </row>
    <row r="119" spans="7:7" x14ac:dyDescent="0.2">
      <c r="G119" s="18"/>
    </row>
    <row r="120" spans="7:7" x14ac:dyDescent="0.2">
      <c r="G120" s="18"/>
    </row>
    <row r="121" spans="7:7" x14ac:dyDescent="0.2">
      <c r="G121" s="18"/>
    </row>
    <row r="122" spans="7:7" x14ac:dyDescent="0.2">
      <c r="G122" s="18"/>
    </row>
    <row r="123" spans="7:7" x14ac:dyDescent="0.2">
      <c r="G123" s="18"/>
    </row>
    <row r="124" spans="7:7" x14ac:dyDescent="0.2">
      <c r="G124" s="18"/>
    </row>
    <row r="125" spans="7:7" x14ac:dyDescent="0.2">
      <c r="G125" s="18"/>
    </row>
    <row r="126" spans="7:7" x14ac:dyDescent="0.2">
      <c r="G126" s="18"/>
    </row>
    <row r="127" spans="7:7" x14ac:dyDescent="0.2">
      <c r="G127" s="18"/>
    </row>
    <row r="128" spans="7:7" x14ac:dyDescent="0.2">
      <c r="G128" s="18"/>
    </row>
    <row r="129" spans="7:7" x14ac:dyDescent="0.2">
      <c r="G129" s="18"/>
    </row>
    <row r="130" spans="7:7" x14ac:dyDescent="0.2">
      <c r="G130" s="18"/>
    </row>
    <row r="131" spans="7:7" x14ac:dyDescent="0.2">
      <c r="G131" s="18"/>
    </row>
    <row r="132" spans="7:7" x14ac:dyDescent="0.2">
      <c r="G132" s="18"/>
    </row>
    <row r="133" spans="7:7" x14ac:dyDescent="0.2">
      <c r="G133" s="18"/>
    </row>
    <row r="134" spans="7:7" x14ac:dyDescent="0.2">
      <c r="G134" s="18"/>
    </row>
    <row r="135" spans="7:7" x14ac:dyDescent="0.2">
      <c r="G135" s="18"/>
    </row>
    <row r="136" spans="7:7" x14ac:dyDescent="0.2">
      <c r="G136" s="18"/>
    </row>
    <row r="137" spans="7:7" x14ac:dyDescent="0.2">
      <c r="G137" s="18"/>
    </row>
    <row r="138" spans="7:7" x14ac:dyDescent="0.2">
      <c r="G138" s="18"/>
    </row>
    <row r="139" spans="7:7" x14ac:dyDescent="0.2">
      <c r="G139" s="18"/>
    </row>
    <row r="140" spans="7:7" x14ac:dyDescent="0.2">
      <c r="G140" s="18"/>
    </row>
    <row r="141" spans="7:7" x14ac:dyDescent="0.2">
      <c r="G141" s="18"/>
    </row>
    <row r="142" spans="7:7" x14ac:dyDescent="0.2">
      <c r="G142" s="18"/>
    </row>
    <row r="143" spans="7:7" x14ac:dyDescent="0.2">
      <c r="G143" s="18"/>
    </row>
    <row r="144" spans="7:7" x14ac:dyDescent="0.2">
      <c r="G144" s="18"/>
    </row>
    <row r="145" spans="7:7" x14ac:dyDescent="0.2">
      <c r="G145" s="18"/>
    </row>
    <row r="146" spans="7:7" x14ac:dyDescent="0.2">
      <c r="G146" s="18"/>
    </row>
    <row r="147" spans="7:7" x14ac:dyDescent="0.2">
      <c r="G147" s="18"/>
    </row>
    <row r="148" spans="7:7" x14ac:dyDescent="0.2">
      <c r="G148" s="18"/>
    </row>
    <row r="149" spans="7:7" x14ac:dyDescent="0.2">
      <c r="G149" s="18"/>
    </row>
    <row r="150" spans="7:7" x14ac:dyDescent="0.2">
      <c r="G150" s="18"/>
    </row>
    <row r="151" spans="7:7" x14ac:dyDescent="0.2">
      <c r="G151" s="18"/>
    </row>
    <row r="152" spans="7:7" x14ac:dyDescent="0.2">
      <c r="G152" s="18"/>
    </row>
    <row r="153" spans="7:7" x14ac:dyDescent="0.2">
      <c r="G153" s="18"/>
    </row>
    <row r="154" spans="7:7" x14ac:dyDescent="0.2">
      <c r="G154" s="18"/>
    </row>
    <row r="155" spans="7:7" x14ac:dyDescent="0.2">
      <c r="G155" s="18"/>
    </row>
    <row r="156" spans="7:7" x14ac:dyDescent="0.2">
      <c r="G156" s="18"/>
    </row>
    <row r="157" spans="7:7" x14ac:dyDescent="0.2">
      <c r="G157" s="18"/>
    </row>
    <row r="158" spans="7:7" x14ac:dyDescent="0.2">
      <c r="G158" s="18"/>
    </row>
    <row r="159" spans="7:7" x14ac:dyDescent="0.2">
      <c r="G159" s="18"/>
    </row>
    <row r="160" spans="7:7" x14ac:dyDescent="0.2">
      <c r="G160" s="18"/>
    </row>
    <row r="161" spans="7:7" x14ac:dyDescent="0.2">
      <c r="G161" s="18"/>
    </row>
    <row r="162" spans="7:7" x14ac:dyDescent="0.2">
      <c r="G162" s="18"/>
    </row>
    <row r="163" spans="7:7" x14ac:dyDescent="0.2">
      <c r="G163" s="18"/>
    </row>
    <row r="164" spans="7:7" x14ac:dyDescent="0.2">
      <c r="G164" s="18"/>
    </row>
    <row r="165" spans="7:7" x14ac:dyDescent="0.2">
      <c r="G165" s="18"/>
    </row>
    <row r="166" spans="7:7" x14ac:dyDescent="0.2">
      <c r="G166" s="18"/>
    </row>
    <row r="167" spans="7:7" x14ac:dyDescent="0.2">
      <c r="G167" s="18"/>
    </row>
    <row r="168" spans="7:7" x14ac:dyDescent="0.2">
      <c r="G168" s="18"/>
    </row>
    <row r="169" spans="7:7" x14ac:dyDescent="0.2">
      <c r="G169" s="18"/>
    </row>
    <row r="170" spans="7:7" x14ac:dyDescent="0.2">
      <c r="G170" s="18"/>
    </row>
    <row r="171" spans="7:7" x14ac:dyDescent="0.2">
      <c r="G171" s="18"/>
    </row>
    <row r="172" spans="7:7" x14ac:dyDescent="0.2">
      <c r="G172" s="18"/>
    </row>
    <row r="173" spans="7:7" x14ac:dyDescent="0.2">
      <c r="G173" s="18"/>
    </row>
    <row r="174" spans="7:7" x14ac:dyDescent="0.2">
      <c r="G174" s="18"/>
    </row>
    <row r="175" spans="7:7" x14ac:dyDescent="0.2">
      <c r="G175" s="18"/>
    </row>
    <row r="176" spans="7:7" x14ac:dyDescent="0.2">
      <c r="G176" s="18"/>
    </row>
    <row r="177" spans="7:7" x14ac:dyDescent="0.2">
      <c r="G177" s="18"/>
    </row>
    <row r="178" spans="7:7" x14ac:dyDescent="0.2">
      <c r="G178" s="18"/>
    </row>
    <row r="179" spans="7:7" x14ac:dyDescent="0.2">
      <c r="G179" s="18"/>
    </row>
    <row r="180" spans="7:7" x14ac:dyDescent="0.2">
      <c r="G180" s="18"/>
    </row>
    <row r="181" spans="7:7" x14ac:dyDescent="0.2">
      <c r="G181" s="18"/>
    </row>
    <row r="182" spans="7:7" x14ac:dyDescent="0.2">
      <c r="G182" s="18"/>
    </row>
    <row r="183" spans="7:7" x14ac:dyDescent="0.2">
      <c r="G183" s="18"/>
    </row>
    <row r="184" spans="7:7" x14ac:dyDescent="0.2">
      <c r="G184" s="18"/>
    </row>
    <row r="185" spans="7:7" x14ac:dyDescent="0.2">
      <c r="G185" s="18"/>
    </row>
    <row r="186" spans="7:7" x14ac:dyDescent="0.2">
      <c r="G186" s="18"/>
    </row>
    <row r="187" spans="7:7" x14ac:dyDescent="0.2">
      <c r="G187" s="18"/>
    </row>
    <row r="188" spans="7:7" x14ac:dyDescent="0.2">
      <c r="G188" s="18"/>
    </row>
    <row r="189" spans="7:7" x14ac:dyDescent="0.2">
      <c r="G189" s="18"/>
    </row>
    <row r="190" spans="7:7" x14ac:dyDescent="0.2">
      <c r="G190" s="18"/>
    </row>
    <row r="191" spans="7:7" x14ac:dyDescent="0.2">
      <c r="G191" s="18"/>
    </row>
    <row r="192" spans="7:7" x14ac:dyDescent="0.2">
      <c r="G192" s="18"/>
    </row>
    <row r="193" spans="7:7" x14ac:dyDescent="0.2">
      <c r="G193" s="18"/>
    </row>
    <row r="194" spans="7:7" x14ac:dyDescent="0.2">
      <c r="G194" s="18"/>
    </row>
    <row r="195" spans="7:7" x14ac:dyDescent="0.2">
      <c r="G195" s="18"/>
    </row>
    <row r="196" spans="7:7" x14ac:dyDescent="0.2">
      <c r="G196" s="18"/>
    </row>
    <row r="197" spans="7:7" x14ac:dyDescent="0.2">
      <c r="G197" s="18"/>
    </row>
    <row r="198" spans="7:7" x14ac:dyDescent="0.2">
      <c r="G198" s="18"/>
    </row>
    <row r="199" spans="7:7" x14ac:dyDescent="0.2">
      <c r="G199" s="18"/>
    </row>
    <row r="200" spans="7:7" x14ac:dyDescent="0.2">
      <c r="G200" s="18"/>
    </row>
    <row r="201" spans="7:7" x14ac:dyDescent="0.2">
      <c r="G201" s="18"/>
    </row>
    <row r="202" spans="7:7" x14ac:dyDescent="0.2">
      <c r="G202" s="18"/>
    </row>
    <row r="203" spans="7:7" x14ac:dyDescent="0.2">
      <c r="G203" s="18"/>
    </row>
    <row r="204" spans="7:7" x14ac:dyDescent="0.2">
      <c r="G204" s="18"/>
    </row>
    <row r="205" spans="7:7" x14ac:dyDescent="0.2">
      <c r="G205" s="18"/>
    </row>
    <row r="206" spans="7:7" x14ac:dyDescent="0.2">
      <c r="G206" s="18"/>
    </row>
    <row r="207" spans="7:7" x14ac:dyDescent="0.2">
      <c r="G207" s="18"/>
    </row>
    <row r="208" spans="7:7" x14ac:dyDescent="0.2">
      <c r="G208" s="18"/>
    </row>
    <row r="209" spans="7:7" x14ac:dyDescent="0.2">
      <c r="G209" s="18"/>
    </row>
    <row r="210" spans="7:7" x14ac:dyDescent="0.2">
      <c r="G210" s="18"/>
    </row>
    <row r="211" spans="7:7" x14ac:dyDescent="0.2">
      <c r="G211" s="18"/>
    </row>
    <row r="212" spans="7:7" x14ac:dyDescent="0.2">
      <c r="G212" s="18"/>
    </row>
    <row r="213" spans="7:7" x14ac:dyDescent="0.2">
      <c r="G213" s="18"/>
    </row>
    <row r="214" spans="7:7" x14ac:dyDescent="0.2">
      <c r="G214" s="18"/>
    </row>
    <row r="215" spans="7:7" x14ac:dyDescent="0.2">
      <c r="G215" s="18"/>
    </row>
    <row r="216" spans="7:7" x14ac:dyDescent="0.2">
      <c r="G216" s="18"/>
    </row>
    <row r="217" spans="7:7" x14ac:dyDescent="0.2">
      <c r="G217" s="18"/>
    </row>
    <row r="218" spans="7:7" x14ac:dyDescent="0.2">
      <c r="G218" s="18"/>
    </row>
    <row r="219" spans="7:7" x14ac:dyDescent="0.2">
      <c r="G219" s="18"/>
    </row>
    <row r="220" spans="7:7" x14ac:dyDescent="0.2">
      <c r="G220" s="18"/>
    </row>
    <row r="221" spans="7:7" x14ac:dyDescent="0.2">
      <c r="G221" s="18"/>
    </row>
    <row r="222" spans="7:7" x14ac:dyDescent="0.2">
      <c r="G222" s="18"/>
    </row>
    <row r="223" spans="7:7" x14ac:dyDescent="0.2">
      <c r="G223" s="18"/>
    </row>
    <row r="224" spans="7:7" x14ac:dyDescent="0.2">
      <c r="G224" s="18"/>
    </row>
    <row r="225" spans="7:7" x14ac:dyDescent="0.2">
      <c r="G225" s="18"/>
    </row>
    <row r="226" spans="7:7" x14ac:dyDescent="0.2">
      <c r="G226" s="18"/>
    </row>
    <row r="227" spans="7:7" x14ac:dyDescent="0.2">
      <c r="G227" s="18"/>
    </row>
    <row r="228" spans="7:7" x14ac:dyDescent="0.2">
      <c r="G228" s="18"/>
    </row>
    <row r="229" spans="7:7" x14ac:dyDescent="0.2">
      <c r="G229" s="18"/>
    </row>
    <row r="230" spans="7:7" x14ac:dyDescent="0.2">
      <c r="G230" s="18"/>
    </row>
    <row r="231" spans="7:7" x14ac:dyDescent="0.2">
      <c r="G231" s="18"/>
    </row>
    <row r="232" spans="7:7" x14ac:dyDescent="0.2">
      <c r="G232" s="18"/>
    </row>
    <row r="233" spans="7:7" x14ac:dyDescent="0.2">
      <c r="G233" s="18"/>
    </row>
    <row r="234" spans="7:7" x14ac:dyDescent="0.2">
      <c r="G234" s="18"/>
    </row>
    <row r="235" spans="7:7" x14ac:dyDescent="0.2">
      <c r="G235" s="18"/>
    </row>
    <row r="236" spans="7:7" x14ac:dyDescent="0.2">
      <c r="G236" s="18"/>
    </row>
    <row r="237" spans="7:7" x14ac:dyDescent="0.2">
      <c r="G237" s="18"/>
    </row>
    <row r="238" spans="7:7" x14ac:dyDescent="0.2">
      <c r="G238" s="18"/>
    </row>
    <row r="239" spans="7:7" x14ac:dyDescent="0.2">
      <c r="G239" s="18"/>
    </row>
    <row r="240" spans="7:7" x14ac:dyDescent="0.2">
      <c r="G240" s="18"/>
    </row>
    <row r="241" spans="7:7" x14ac:dyDescent="0.2">
      <c r="G241" s="18"/>
    </row>
    <row r="242" spans="7:7" x14ac:dyDescent="0.2">
      <c r="G242" s="18"/>
    </row>
    <row r="243" spans="7:7" x14ac:dyDescent="0.2">
      <c r="G243" s="18"/>
    </row>
    <row r="244" spans="7:7" x14ac:dyDescent="0.2">
      <c r="G244" s="18"/>
    </row>
    <row r="245" spans="7:7" x14ac:dyDescent="0.2">
      <c r="G245" s="18"/>
    </row>
    <row r="246" spans="7:7" x14ac:dyDescent="0.2">
      <c r="G246" s="18"/>
    </row>
    <row r="247" spans="7:7" x14ac:dyDescent="0.2">
      <c r="G247" s="18"/>
    </row>
    <row r="248" spans="7:7" x14ac:dyDescent="0.2">
      <c r="G248" s="18"/>
    </row>
    <row r="249" spans="7:7" x14ac:dyDescent="0.2">
      <c r="G249" s="18"/>
    </row>
    <row r="250" spans="7:7" x14ac:dyDescent="0.2">
      <c r="G250" s="18"/>
    </row>
    <row r="251" spans="7:7" x14ac:dyDescent="0.2">
      <c r="G251" s="18"/>
    </row>
    <row r="252" spans="7:7" x14ac:dyDescent="0.2">
      <c r="G252" s="18"/>
    </row>
    <row r="253" spans="7:7" x14ac:dyDescent="0.2">
      <c r="G253" s="18"/>
    </row>
    <row r="254" spans="7:7" x14ac:dyDescent="0.2">
      <c r="G254" s="18"/>
    </row>
    <row r="255" spans="7:7" x14ac:dyDescent="0.2">
      <c r="G255" s="18"/>
    </row>
    <row r="256" spans="7:7" x14ac:dyDescent="0.2">
      <c r="G256" s="18"/>
    </row>
    <row r="257" spans="7:7" x14ac:dyDescent="0.2">
      <c r="G257" s="18"/>
    </row>
    <row r="258" spans="7:7" x14ac:dyDescent="0.2">
      <c r="G258" s="18"/>
    </row>
    <row r="259" spans="7:7" x14ac:dyDescent="0.2">
      <c r="G259" s="18"/>
    </row>
    <row r="260" spans="7:7" x14ac:dyDescent="0.2">
      <c r="G260" s="18"/>
    </row>
    <row r="261" spans="7:7" x14ac:dyDescent="0.2">
      <c r="G261" s="18"/>
    </row>
    <row r="262" spans="7:7" x14ac:dyDescent="0.2">
      <c r="G262" s="18"/>
    </row>
    <row r="263" spans="7:7" x14ac:dyDescent="0.2">
      <c r="G263" s="18"/>
    </row>
    <row r="264" spans="7:7" x14ac:dyDescent="0.2">
      <c r="G264" s="18"/>
    </row>
    <row r="265" spans="7:7" x14ac:dyDescent="0.2">
      <c r="G265" s="18"/>
    </row>
    <row r="266" spans="7:7" x14ac:dyDescent="0.2">
      <c r="G266" s="18"/>
    </row>
    <row r="267" spans="7:7" x14ac:dyDescent="0.2">
      <c r="G267" s="18"/>
    </row>
    <row r="268" spans="7:7" x14ac:dyDescent="0.2">
      <c r="G268" s="18"/>
    </row>
    <row r="269" spans="7:7" x14ac:dyDescent="0.2">
      <c r="G269" s="18"/>
    </row>
    <row r="270" spans="7:7" x14ac:dyDescent="0.2">
      <c r="G270" s="18"/>
    </row>
    <row r="271" spans="7:7" x14ac:dyDescent="0.2">
      <c r="G271" s="18"/>
    </row>
    <row r="272" spans="7:7" x14ac:dyDescent="0.2">
      <c r="G272" s="18"/>
    </row>
    <row r="273" spans="7:7" x14ac:dyDescent="0.2">
      <c r="G273" s="18"/>
    </row>
    <row r="274" spans="7:7" x14ac:dyDescent="0.2">
      <c r="G274" s="18"/>
    </row>
    <row r="275" spans="7:7" x14ac:dyDescent="0.2">
      <c r="G275" s="18"/>
    </row>
    <row r="276" spans="7:7" x14ac:dyDescent="0.2">
      <c r="G276" s="18"/>
    </row>
    <row r="277" spans="7:7" x14ac:dyDescent="0.2">
      <c r="G277" s="18"/>
    </row>
    <row r="278" spans="7:7" x14ac:dyDescent="0.2">
      <c r="G278" s="18"/>
    </row>
    <row r="279" spans="7:7" x14ac:dyDescent="0.2">
      <c r="G279" s="18"/>
    </row>
    <row r="280" spans="7:7" x14ac:dyDescent="0.2">
      <c r="G280" s="18"/>
    </row>
    <row r="281" spans="7:7" x14ac:dyDescent="0.2">
      <c r="G281" s="18"/>
    </row>
    <row r="282" spans="7:7" x14ac:dyDescent="0.2">
      <c r="G282" s="18"/>
    </row>
    <row r="283" spans="7:7" x14ac:dyDescent="0.2">
      <c r="G283" s="18"/>
    </row>
    <row r="284" spans="7:7" x14ac:dyDescent="0.2">
      <c r="G284" s="18"/>
    </row>
    <row r="285" spans="7:7" x14ac:dyDescent="0.2">
      <c r="G285" s="18"/>
    </row>
    <row r="286" spans="7:7" x14ac:dyDescent="0.2">
      <c r="G286" s="18"/>
    </row>
    <row r="287" spans="7:7" x14ac:dyDescent="0.2">
      <c r="G287" s="18"/>
    </row>
    <row r="288" spans="7:7" x14ac:dyDescent="0.2">
      <c r="G288" s="18"/>
    </row>
    <row r="289" spans="7:7" x14ac:dyDescent="0.2">
      <c r="G289" s="18"/>
    </row>
    <row r="290" spans="7:7" x14ac:dyDescent="0.2">
      <c r="G290" s="18"/>
    </row>
    <row r="291" spans="7:7" x14ac:dyDescent="0.2">
      <c r="G291" s="18"/>
    </row>
    <row r="292" spans="7:7" x14ac:dyDescent="0.2">
      <c r="G292" s="18"/>
    </row>
    <row r="293" spans="7:7" x14ac:dyDescent="0.2">
      <c r="G293" s="18"/>
    </row>
    <row r="294" spans="7:7" x14ac:dyDescent="0.2">
      <c r="G294" s="18"/>
    </row>
    <row r="295" spans="7:7" x14ac:dyDescent="0.2">
      <c r="G295" s="18"/>
    </row>
    <row r="296" spans="7:7" x14ac:dyDescent="0.2">
      <c r="G296" s="18"/>
    </row>
    <row r="297" spans="7:7" x14ac:dyDescent="0.2">
      <c r="G297" s="18"/>
    </row>
    <row r="298" spans="7:7" x14ac:dyDescent="0.2">
      <c r="G298" s="18"/>
    </row>
    <row r="299" spans="7:7" x14ac:dyDescent="0.2">
      <c r="G299" s="18"/>
    </row>
    <row r="300" spans="7:7" x14ac:dyDescent="0.2">
      <c r="G300" s="18"/>
    </row>
    <row r="301" spans="7:7" x14ac:dyDescent="0.2">
      <c r="G301" s="18"/>
    </row>
    <row r="302" spans="7:7" x14ac:dyDescent="0.2">
      <c r="G302" s="18"/>
    </row>
    <row r="303" spans="7:7" x14ac:dyDescent="0.2">
      <c r="G303" s="18"/>
    </row>
    <row r="304" spans="7:7" x14ac:dyDescent="0.2">
      <c r="G304" s="18"/>
    </row>
    <row r="305" spans="7:7" x14ac:dyDescent="0.2">
      <c r="G305" s="18"/>
    </row>
    <row r="306" spans="7:7" x14ac:dyDescent="0.2">
      <c r="G306" s="18"/>
    </row>
    <row r="307" spans="7:7" x14ac:dyDescent="0.2">
      <c r="G307" s="18"/>
    </row>
    <row r="308" spans="7:7" x14ac:dyDescent="0.2">
      <c r="G308" s="18"/>
    </row>
    <row r="309" spans="7:7" x14ac:dyDescent="0.2">
      <c r="G309" s="18"/>
    </row>
    <row r="310" spans="7:7" x14ac:dyDescent="0.2">
      <c r="G310" s="18"/>
    </row>
    <row r="311" spans="7:7" x14ac:dyDescent="0.2">
      <c r="G311" s="18"/>
    </row>
    <row r="312" spans="7:7" x14ac:dyDescent="0.2">
      <c r="G312" s="18"/>
    </row>
    <row r="313" spans="7:7" x14ac:dyDescent="0.2">
      <c r="G313" s="18"/>
    </row>
    <row r="314" spans="7:7" x14ac:dyDescent="0.2">
      <c r="G314" s="18"/>
    </row>
    <row r="315" spans="7:7" x14ac:dyDescent="0.2">
      <c r="G315" s="18"/>
    </row>
    <row r="316" spans="7:7" x14ac:dyDescent="0.2">
      <c r="G316" s="18"/>
    </row>
    <row r="317" spans="7:7" x14ac:dyDescent="0.2">
      <c r="G317" s="18"/>
    </row>
    <row r="318" spans="7:7" x14ac:dyDescent="0.2">
      <c r="G318" s="18"/>
    </row>
    <row r="319" spans="7:7" x14ac:dyDescent="0.2">
      <c r="G319" s="18"/>
    </row>
    <row r="320" spans="7:7" x14ac:dyDescent="0.2">
      <c r="G320" s="18"/>
    </row>
    <row r="321" spans="7:7" x14ac:dyDescent="0.2">
      <c r="G321" s="18"/>
    </row>
    <row r="322" spans="7:7" x14ac:dyDescent="0.2">
      <c r="G322" s="18"/>
    </row>
    <row r="323" spans="7:7" x14ac:dyDescent="0.2">
      <c r="G323" s="18"/>
    </row>
    <row r="324" spans="7:7" x14ac:dyDescent="0.2">
      <c r="G324" s="18"/>
    </row>
    <row r="325" spans="7:7" x14ac:dyDescent="0.2">
      <c r="G325" s="18"/>
    </row>
    <row r="326" spans="7:7" x14ac:dyDescent="0.2">
      <c r="G326" s="18"/>
    </row>
    <row r="327" spans="7:7" x14ac:dyDescent="0.2">
      <c r="G327" s="18"/>
    </row>
    <row r="328" spans="7:7" x14ac:dyDescent="0.2">
      <c r="G328" s="18"/>
    </row>
    <row r="329" spans="7:7" x14ac:dyDescent="0.2">
      <c r="G329" s="18"/>
    </row>
    <row r="330" spans="7:7" x14ac:dyDescent="0.2">
      <c r="G330" s="18"/>
    </row>
    <row r="331" spans="7:7" x14ac:dyDescent="0.2">
      <c r="G331" s="18"/>
    </row>
    <row r="332" spans="7:7" x14ac:dyDescent="0.2">
      <c r="G332" s="18"/>
    </row>
    <row r="333" spans="7:7" x14ac:dyDescent="0.2">
      <c r="G333" s="18"/>
    </row>
    <row r="334" spans="7:7" x14ac:dyDescent="0.2">
      <c r="G334" s="18"/>
    </row>
    <row r="335" spans="7:7" x14ac:dyDescent="0.2">
      <c r="G335" s="18"/>
    </row>
    <row r="336" spans="7:7" x14ac:dyDescent="0.2">
      <c r="G336" s="18"/>
    </row>
    <row r="337" spans="7:7" x14ac:dyDescent="0.2">
      <c r="G337" s="18"/>
    </row>
    <row r="338" spans="7:7" x14ac:dyDescent="0.2">
      <c r="G338" s="18"/>
    </row>
    <row r="339" spans="7:7" x14ac:dyDescent="0.2">
      <c r="G339" s="18"/>
    </row>
    <row r="340" spans="7:7" x14ac:dyDescent="0.2">
      <c r="G340" s="18"/>
    </row>
    <row r="341" spans="7:7" x14ac:dyDescent="0.2">
      <c r="G341" s="18"/>
    </row>
    <row r="342" spans="7:7" x14ac:dyDescent="0.2">
      <c r="G342" s="18"/>
    </row>
    <row r="343" spans="7:7" x14ac:dyDescent="0.2">
      <c r="G343" s="18"/>
    </row>
    <row r="344" spans="7:7" x14ac:dyDescent="0.2">
      <c r="G344" s="18"/>
    </row>
    <row r="345" spans="7:7" x14ac:dyDescent="0.2">
      <c r="G345" s="18"/>
    </row>
    <row r="346" spans="7:7" x14ac:dyDescent="0.2">
      <c r="G346" s="18"/>
    </row>
    <row r="347" spans="7:7" x14ac:dyDescent="0.2">
      <c r="G347" s="18"/>
    </row>
    <row r="348" spans="7:7" x14ac:dyDescent="0.2">
      <c r="G348" s="18"/>
    </row>
    <row r="349" spans="7:7" x14ac:dyDescent="0.2">
      <c r="G349" s="18"/>
    </row>
    <row r="350" spans="7:7" x14ac:dyDescent="0.2">
      <c r="G350" s="18"/>
    </row>
    <row r="351" spans="7:7" x14ac:dyDescent="0.2">
      <c r="G351" s="18"/>
    </row>
    <row r="352" spans="7:7" x14ac:dyDescent="0.2">
      <c r="G352" s="18"/>
    </row>
    <row r="353" spans="7:7" x14ac:dyDescent="0.2">
      <c r="G353" s="18"/>
    </row>
    <row r="354" spans="7:7" x14ac:dyDescent="0.2">
      <c r="G354" s="18"/>
    </row>
    <row r="355" spans="7:7" x14ac:dyDescent="0.2">
      <c r="G355" s="18"/>
    </row>
    <row r="356" spans="7:7" x14ac:dyDescent="0.2">
      <c r="G356" s="18"/>
    </row>
    <row r="357" spans="7:7" x14ac:dyDescent="0.2">
      <c r="G357" s="18"/>
    </row>
    <row r="358" spans="7:7" x14ac:dyDescent="0.2">
      <c r="G358" s="18"/>
    </row>
    <row r="359" spans="7:7" x14ac:dyDescent="0.2">
      <c r="G359" s="18"/>
    </row>
    <row r="360" spans="7:7" x14ac:dyDescent="0.2">
      <c r="G360" s="18"/>
    </row>
    <row r="361" spans="7:7" x14ac:dyDescent="0.2">
      <c r="G361" s="18"/>
    </row>
    <row r="362" spans="7:7" x14ac:dyDescent="0.2">
      <c r="G362" s="18"/>
    </row>
    <row r="363" spans="7:7" x14ac:dyDescent="0.2">
      <c r="G363" s="18"/>
    </row>
    <row r="364" spans="7:7" x14ac:dyDescent="0.2">
      <c r="G364" s="18"/>
    </row>
    <row r="365" spans="7:7" x14ac:dyDescent="0.2">
      <c r="G365" s="18"/>
    </row>
    <row r="366" spans="7:7" x14ac:dyDescent="0.2">
      <c r="G366" s="18"/>
    </row>
    <row r="367" spans="7:7" x14ac:dyDescent="0.2">
      <c r="G367" s="18"/>
    </row>
    <row r="368" spans="7:7" x14ac:dyDescent="0.2">
      <c r="G368" s="18"/>
    </row>
    <row r="369" spans="7:7" x14ac:dyDescent="0.2">
      <c r="G369" s="18"/>
    </row>
    <row r="370" spans="7:7" x14ac:dyDescent="0.2">
      <c r="G370" s="18"/>
    </row>
    <row r="371" spans="7:7" x14ac:dyDescent="0.2">
      <c r="G371" s="18"/>
    </row>
    <row r="372" spans="7:7" x14ac:dyDescent="0.2">
      <c r="G372" s="18"/>
    </row>
    <row r="373" spans="7:7" x14ac:dyDescent="0.2">
      <c r="G373" s="18"/>
    </row>
    <row r="374" spans="7:7" x14ac:dyDescent="0.2">
      <c r="G374" s="18"/>
    </row>
    <row r="375" spans="7:7" x14ac:dyDescent="0.2">
      <c r="G375" s="18"/>
    </row>
    <row r="376" spans="7:7" x14ac:dyDescent="0.2">
      <c r="G376" s="18"/>
    </row>
    <row r="377" spans="7:7" x14ac:dyDescent="0.2">
      <c r="G377" s="18"/>
    </row>
    <row r="378" spans="7:7" x14ac:dyDescent="0.2">
      <c r="G378" s="18"/>
    </row>
    <row r="379" spans="7:7" x14ac:dyDescent="0.2">
      <c r="G379" s="18"/>
    </row>
    <row r="380" spans="7:7" x14ac:dyDescent="0.2">
      <c r="G380" s="18"/>
    </row>
    <row r="381" spans="7:7" x14ac:dyDescent="0.2">
      <c r="G381" s="18"/>
    </row>
    <row r="382" spans="7:7" x14ac:dyDescent="0.2">
      <c r="G382" s="18"/>
    </row>
    <row r="383" spans="7:7" x14ac:dyDescent="0.2">
      <c r="G383" s="18"/>
    </row>
    <row r="384" spans="7:7" x14ac:dyDescent="0.2">
      <c r="G384" s="18"/>
    </row>
    <row r="385" spans="7:7" x14ac:dyDescent="0.2">
      <c r="G385" s="18"/>
    </row>
    <row r="386" spans="7:7" x14ac:dyDescent="0.2">
      <c r="G386" s="18"/>
    </row>
    <row r="387" spans="7:7" x14ac:dyDescent="0.2">
      <c r="G387" s="18"/>
    </row>
    <row r="388" spans="7:7" x14ac:dyDescent="0.2">
      <c r="G388" s="18"/>
    </row>
    <row r="389" spans="7:7" x14ac:dyDescent="0.2">
      <c r="G389" s="18"/>
    </row>
    <row r="390" spans="7:7" x14ac:dyDescent="0.2">
      <c r="G390" s="18"/>
    </row>
    <row r="391" spans="7:7" x14ac:dyDescent="0.2">
      <c r="G391" s="18"/>
    </row>
    <row r="392" spans="7:7" x14ac:dyDescent="0.2">
      <c r="G392" s="18"/>
    </row>
    <row r="393" spans="7:7" x14ac:dyDescent="0.2">
      <c r="G393" s="18"/>
    </row>
    <row r="394" spans="7:7" x14ac:dyDescent="0.2">
      <c r="G394" s="18"/>
    </row>
    <row r="395" spans="7:7" x14ac:dyDescent="0.2">
      <c r="G395" s="18"/>
    </row>
    <row r="396" spans="7:7" x14ac:dyDescent="0.2">
      <c r="G396" s="18"/>
    </row>
    <row r="397" spans="7:7" x14ac:dyDescent="0.2">
      <c r="G397" s="18"/>
    </row>
    <row r="398" spans="7:7" x14ac:dyDescent="0.2">
      <c r="G398" s="18"/>
    </row>
    <row r="399" spans="7:7" x14ac:dyDescent="0.2">
      <c r="G399" s="18"/>
    </row>
    <row r="400" spans="7:7" x14ac:dyDescent="0.2">
      <c r="G400" s="18"/>
    </row>
    <row r="401" spans="7:7" x14ac:dyDescent="0.2">
      <c r="G401" s="18"/>
    </row>
    <row r="402" spans="7:7" x14ac:dyDescent="0.2">
      <c r="G402" s="18"/>
    </row>
    <row r="403" spans="7:7" x14ac:dyDescent="0.2">
      <c r="G403" s="18"/>
    </row>
    <row r="404" spans="7:7" x14ac:dyDescent="0.2">
      <c r="G404" s="18"/>
    </row>
    <row r="405" spans="7:7" x14ac:dyDescent="0.2">
      <c r="G405" s="18"/>
    </row>
    <row r="406" spans="7:7" x14ac:dyDescent="0.2">
      <c r="G406" s="18"/>
    </row>
    <row r="407" spans="7:7" x14ac:dyDescent="0.2">
      <c r="G407" s="18"/>
    </row>
    <row r="408" spans="7:7" x14ac:dyDescent="0.2">
      <c r="G408" s="18"/>
    </row>
    <row r="409" spans="7:7" x14ac:dyDescent="0.2">
      <c r="G409" s="18"/>
    </row>
    <row r="410" spans="7:7" x14ac:dyDescent="0.2">
      <c r="G410" s="18"/>
    </row>
    <row r="411" spans="7:7" x14ac:dyDescent="0.2">
      <c r="G411" s="18"/>
    </row>
    <row r="412" spans="7:7" x14ac:dyDescent="0.2">
      <c r="G412" s="18"/>
    </row>
    <row r="413" spans="7:7" x14ac:dyDescent="0.2">
      <c r="G413" s="18"/>
    </row>
    <row r="414" spans="7:7" x14ac:dyDescent="0.2">
      <c r="G414" s="18"/>
    </row>
    <row r="415" spans="7:7" x14ac:dyDescent="0.2">
      <c r="G415" s="18"/>
    </row>
    <row r="416" spans="7:7" x14ac:dyDescent="0.2">
      <c r="G416" s="18"/>
    </row>
    <row r="417" spans="7:7" x14ac:dyDescent="0.2">
      <c r="G417" s="18"/>
    </row>
    <row r="418" spans="7:7" x14ac:dyDescent="0.2">
      <c r="G418" s="18"/>
    </row>
    <row r="419" spans="7:7" x14ac:dyDescent="0.2">
      <c r="G419" s="18"/>
    </row>
    <row r="420" spans="7:7" x14ac:dyDescent="0.2">
      <c r="G420" s="18"/>
    </row>
    <row r="421" spans="7:7" x14ac:dyDescent="0.2">
      <c r="G421" s="18"/>
    </row>
    <row r="422" spans="7:7" x14ac:dyDescent="0.2">
      <c r="G422" s="18"/>
    </row>
    <row r="423" spans="7:7" x14ac:dyDescent="0.2">
      <c r="G423" s="18"/>
    </row>
    <row r="424" spans="7:7" x14ac:dyDescent="0.2">
      <c r="G424" s="18"/>
    </row>
    <row r="425" spans="7:7" x14ac:dyDescent="0.2">
      <c r="G425" s="18"/>
    </row>
    <row r="426" spans="7:7" x14ac:dyDescent="0.2">
      <c r="G426" s="18"/>
    </row>
    <row r="427" spans="7:7" x14ac:dyDescent="0.2">
      <c r="G427" s="18"/>
    </row>
    <row r="428" spans="7:7" x14ac:dyDescent="0.2">
      <c r="G428" s="18"/>
    </row>
    <row r="429" spans="7:7" x14ac:dyDescent="0.2">
      <c r="G429" s="18"/>
    </row>
    <row r="430" spans="7:7" x14ac:dyDescent="0.2">
      <c r="G430" s="18"/>
    </row>
    <row r="431" spans="7:7" x14ac:dyDescent="0.2">
      <c r="G431" s="18"/>
    </row>
    <row r="432" spans="7:7" x14ac:dyDescent="0.2">
      <c r="G432" s="18"/>
    </row>
    <row r="433" spans="7:7" x14ac:dyDescent="0.2">
      <c r="G433" s="18"/>
    </row>
    <row r="434" spans="7:7" x14ac:dyDescent="0.2">
      <c r="G434" s="18"/>
    </row>
    <row r="435" spans="7:7" x14ac:dyDescent="0.2">
      <c r="G435" s="18"/>
    </row>
    <row r="436" spans="7:7" x14ac:dyDescent="0.2">
      <c r="G436" s="18"/>
    </row>
    <row r="437" spans="7:7" x14ac:dyDescent="0.2">
      <c r="G437" s="18"/>
    </row>
    <row r="438" spans="7:7" x14ac:dyDescent="0.2">
      <c r="G438" s="18"/>
    </row>
    <row r="439" spans="7:7" x14ac:dyDescent="0.2">
      <c r="G439" s="18"/>
    </row>
    <row r="440" spans="7:7" x14ac:dyDescent="0.2">
      <c r="G440" s="18"/>
    </row>
    <row r="441" spans="7:7" x14ac:dyDescent="0.2">
      <c r="G441" s="18"/>
    </row>
    <row r="442" spans="7:7" x14ac:dyDescent="0.2">
      <c r="G442" s="18"/>
    </row>
    <row r="443" spans="7:7" x14ac:dyDescent="0.2">
      <c r="G443" s="18"/>
    </row>
    <row r="444" spans="7:7" x14ac:dyDescent="0.2">
      <c r="G444" s="18"/>
    </row>
    <row r="445" spans="7:7" x14ac:dyDescent="0.2">
      <c r="G445" s="18"/>
    </row>
    <row r="446" spans="7:7" x14ac:dyDescent="0.2">
      <c r="G446" s="18"/>
    </row>
    <row r="447" spans="7:7" x14ac:dyDescent="0.2">
      <c r="G447" s="18"/>
    </row>
    <row r="448" spans="7:7" x14ac:dyDescent="0.2">
      <c r="G448" s="18"/>
    </row>
    <row r="449" spans="7:7" x14ac:dyDescent="0.2">
      <c r="G449" s="18"/>
    </row>
    <row r="450" spans="7:7" x14ac:dyDescent="0.2">
      <c r="G450" s="18"/>
    </row>
    <row r="451" spans="7:7" x14ac:dyDescent="0.2">
      <c r="G451" s="18"/>
    </row>
    <row r="452" spans="7:7" x14ac:dyDescent="0.2">
      <c r="G452" s="18"/>
    </row>
    <row r="453" spans="7:7" x14ac:dyDescent="0.2">
      <c r="G453" s="18"/>
    </row>
    <row r="454" spans="7:7" x14ac:dyDescent="0.2">
      <c r="G454" s="18"/>
    </row>
    <row r="455" spans="7:7" x14ac:dyDescent="0.2">
      <c r="G455" s="18"/>
    </row>
    <row r="456" spans="7:7" x14ac:dyDescent="0.2">
      <c r="G456" s="18"/>
    </row>
    <row r="457" spans="7:7" x14ac:dyDescent="0.2">
      <c r="G457" s="18"/>
    </row>
    <row r="458" spans="7:7" x14ac:dyDescent="0.2">
      <c r="G458" s="18"/>
    </row>
    <row r="459" spans="7:7" x14ac:dyDescent="0.2">
      <c r="G459" s="18"/>
    </row>
    <row r="460" spans="7:7" x14ac:dyDescent="0.2">
      <c r="G460" s="18"/>
    </row>
    <row r="461" spans="7:7" x14ac:dyDescent="0.2">
      <c r="G461" s="18"/>
    </row>
    <row r="462" spans="7:7" x14ac:dyDescent="0.2">
      <c r="G462" s="18"/>
    </row>
    <row r="463" spans="7:7" x14ac:dyDescent="0.2">
      <c r="G463" s="18"/>
    </row>
    <row r="464" spans="7:7" x14ac:dyDescent="0.2">
      <c r="G464" s="18"/>
    </row>
    <row r="465" spans="7:7" x14ac:dyDescent="0.2">
      <c r="G465" s="18"/>
    </row>
    <row r="466" spans="7:7" x14ac:dyDescent="0.2">
      <c r="G466" s="18"/>
    </row>
    <row r="467" spans="7:7" x14ac:dyDescent="0.2">
      <c r="G467" s="18"/>
    </row>
    <row r="468" spans="7:7" x14ac:dyDescent="0.2">
      <c r="G468" s="18"/>
    </row>
    <row r="469" spans="7:7" x14ac:dyDescent="0.2">
      <c r="G469" s="18"/>
    </row>
    <row r="470" spans="7:7" x14ac:dyDescent="0.2">
      <c r="G470" s="18"/>
    </row>
    <row r="471" spans="7:7" x14ac:dyDescent="0.2">
      <c r="G471" s="18"/>
    </row>
    <row r="472" spans="7:7" x14ac:dyDescent="0.2">
      <c r="G472" s="18"/>
    </row>
    <row r="473" spans="7:7" x14ac:dyDescent="0.2">
      <c r="G473" s="18"/>
    </row>
    <row r="474" spans="7:7" x14ac:dyDescent="0.2">
      <c r="G474" s="18"/>
    </row>
    <row r="475" spans="7:7" x14ac:dyDescent="0.2">
      <c r="G475" s="18"/>
    </row>
    <row r="476" spans="7:7" x14ac:dyDescent="0.2">
      <c r="G476" s="18"/>
    </row>
    <row r="477" spans="7:7" x14ac:dyDescent="0.2">
      <c r="G477" s="18"/>
    </row>
    <row r="478" spans="7:7" x14ac:dyDescent="0.2">
      <c r="G478" s="18"/>
    </row>
    <row r="479" spans="7:7" x14ac:dyDescent="0.2">
      <c r="G479" s="18"/>
    </row>
    <row r="480" spans="7:7" x14ac:dyDescent="0.2">
      <c r="G480" s="18"/>
    </row>
    <row r="481" spans="7:7" x14ac:dyDescent="0.2">
      <c r="G481" s="18"/>
    </row>
    <row r="482" spans="7:7" x14ac:dyDescent="0.2">
      <c r="G482" s="18"/>
    </row>
    <row r="483" spans="7:7" x14ac:dyDescent="0.2">
      <c r="G483" s="18"/>
    </row>
    <row r="484" spans="7:7" x14ac:dyDescent="0.2">
      <c r="G484" s="18"/>
    </row>
    <row r="485" spans="7:7" x14ac:dyDescent="0.2">
      <c r="G485" s="18"/>
    </row>
    <row r="486" spans="7:7" x14ac:dyDescent="0.2">
      <c r="G486" s="18"/>
    </row>
    <row r="487" spans="7:7" x14ac:dyDescent="0.2">
      <c r="G487" s="18"/>
    </row>
    <row r="488" spans="7:7" x14ac:dyDescent="0.2">
      <c r="G488" s="18"/>
    </row>
    <row r="489" spans="7:7" x14ac:dyDescent="0.2">
      <c r="G489" s="18"/>
    </row>
    <row r="490" spans="7:7" x14ac:dyDescent="0.2">
      <c r="G490" s="18"/>
    </row>
    <row r="491" spans="7:7" x14ac:dyDescent="0.2">
      <c r="G491" s="18"/>
    </row>
    <row r="492" spans="7:7" x14ac:dyDescent="0.2">
      <c r="G492" s="18"/>
    </row>
    <row r="493" spans="7:7" x14ac:dyDescent="0.2">
      <c r="G493" s="18"/>
    </row>
    <row r="494" spans="7:7" x14ac:dyDescent="0.2">
      <c r="G494" s="18"/>
    </row>
    <row r="495" spans="7:7" x14ac:dyDescent="0.2">
      <c r="G495" s="18"/>
    </row>
    <row r="496" spans="7:7" x14ac:dyDescent="0.2">
      <c r="G496" s="18"/>
    </row>
    <row r="497" spans="7:7" x14ac:dyDescent="0.2">
      <c r="G497" s="18"/>
    </row>
    <row r="498" spans="7:7" x14ac:dyDescent="0.2">
      <c r="G498" s="18"/>
    </row>
    <row r="499" spans="7:7" x14ac:dyDescent="0.2">
      <c r="G499" s="18"/>
    </row>
    <row r="500" spans="7:7" x14ac:dyDescent="0.2">
      <c r="G500" s="18"/>
    </row>
    <row r="501" spans="7:7" x14ac:dyDescent="0.2">
      <c r="G501" s="18"/>
    </row>
    <row r="502" spans="7:7" x14ac:dyDescent="0.2">
      <c r="G502" s="18"/>
    </row>
    <row r="503" spans="7:7" x14ac:dyDescent="0.2">
      <c r="G503" s="18"/>
    </row>
    <row r="504" spans="7:7" x14ac:dyDescent="0.2">
      <c r="G504" s="18"/>
    </row>
    <row r="505" spans="7:7" x14ac:dyDescent="0.2">
      <c r="G505" s="18"/>
    </row>
    <row r="506" spans="7:7" x14ac:dyDescent="0.2">
      <c r="G506" s="18"/>
    </row>
    <row r="507" spans="7:7" x14ac:dyDescent="0.2">
      <c r="G507" s="18"/>
    </row>
    <row r="508" spans="7:7" x14ac:dyDescent="0.2">
      <c r="G508" s="18"/>
    </row>
    <row r="509" spans="7:7" x14ac:dyDescent="0.2">
      <c r="G509" s="18"/>
    </row>
    <row r="510" spans="7:7" x14ac:dyDescent="0.2">
      <c r="G510" s="18"/>
    </row>
    <row r="511" spans="7:7" x14ac:dyDescent="0.2">
      <c r="G511" s="18"/>
    </row>
    <row r="512" spans="7:7" x14ac:dyDescent="0.2">
      <c r="G512" s="18"/>
    </row>
    <row r="513" spans="7:7" x14ac:dyDescent="0.2">
      <c r="G513" s="18"/>
    </row>
    <row r="514" spans="7:7" x14ac:dyDescent="0.2">
      <c r="G514" s="18"/>
    </row>
    <row r="515" spans="7:7" x14ac:dyDescent="0.2">
      <c r="G515" s="18"/>
    </row>
    <row r="516" spans="7:7" x14ac:dyDescent="0.2">
      <c r="G516" s="18"/>
    </row>
    <row r="517" spans="7:7" x14ac:dyDescent="0.2">
      <c r="G517" s="18"/>
    </row>
    <row r="518" spans="7:7" x14ac:dyDescent="0.2">
      <c r="G518" s="18"/>
    </row>
    <row r="519" spans="7:7" x14ac:dyDescent="0.2">
      <c r="G519" s="18"/>
    </row>
    <row r="520" spans="7:7" x14ac:dyDescent="0.2">
      <c r="G520" s="18"/>
    </row>
    <row r="521" spans="7:7" x14ac:dyDescent="0.2">
      <c r="G521" s="18"/>
    </row>
    <row r="522" spans="7:7" x14ac:dyDescent="0.2">
      <c r="G522" s="18"/>
    </row>
    <row r="523" spans="7:7" x14ac:dyDescent="0.2">
      <c r="G523" s="18"/>
    </row>
    <row r="524" spans="7:7" x14ac:dyDescent="0.2">
      <c r="G524" s="18"/>
    </row>
    <row r="525" spans="7:7" x14ac:dyDescent="0.2">
      <c r="G525" s="18"/>
    </row>
    <row r="526" spans="7:7" x14ac:dyDescent="0.2">
      <c r="G526" s="18"/>
    </row>
    <row r="527" spans="7:7" x14ac:dyDescent="0.2">
      <c r="G527" s="18"/>
    </row>
    <row r="528" spans="7:7" x14ac:dyDescent="0.2">
      <c r="G528" s="18"/>
    </row>
    <row r="529" spans="7:7" x14ac:dyDescent="0.2">
      <c r="G529" s="18"/>
    </row>
    <row r="530" spans="7:7" x14ac:dyDescent="0.2">
      <c r="G530" s="18"/>
    </row>
    <row r="531" spans="7:7" x14ac:dyDescent="0.2">
      <c r="G531" s="18"/>
    </row>
    <row r="532" spans="7:7" x14ac:dyDescent="0.2">
      <c r="G532" s="18"/>
    </row>
    <row r="533" spans="7:7" x14ac:dyDescent="0.2">
      <c r="G533" s="18"/>
    </row>
    <row r="534" spans="7:7" x14ac:dyDescent="0.2">
      <c r="G534" s="18"/>
    </row>
    <row r="535" spans="7:7" x14ac:dyDescent="0.2">
      <c r="G535" s="18"/>
    </row>
    <row r="536" spans="7:7" x14ac:dyDescent="0.2">
      <c r="G536" s="18"/>
    </row>
    <row r="537" spans="7:7" x14ac:dyDescent="0.2">
      <c r="G537" s="18"/>
    </row>
    <row r="538" spans="7:7" x14ac:dyDescent="0.2">
      <c r="G538" s="18"/>
    </row>
    <row r="539" spans="7:7" x14ac:dyDescent="0.2">
      <c r="G539" s="18"/>
    </row>
    <row r="540" spans="7:7" x14ac:dyDescent="0.2">
      <c r="G540" s="18"/>
    </row>
    <row r="541" spans="7:7" x14ac:dyDescent="0.2">
      <c r="G541" s="18"/>
    </row>
    <row r="542" spans="7:7" x14ac:dyDescent="0.2">
      <c r="G542" s="18"/>
    </row>
    <row r="543" spans="7:7" x14ac:dyDescent="0.2">
      <c r="G543" s="18"/>
    </row>
    <row r="544" spans="7:7" x14ac:dyDescent="0.2">
      <c r="G544" s="18"/>
    </row>
    <row r="545" spans="7:7" x14ac:dyDescent="0.2">
      <c r="G545" s="18"/>
    </row>
    <row r="546" spans="7:7" x14ac:dyDescent="0.2">
      <c r="G546" s="18"/>
    </row>
    <row r="547" spans="7:7" x14ac:dyDescent="0.2">
      <c r="G547" s="18"/>
    </row>
    <row r="548" spans="7:7" x14ac:dyDescent="0.2">
      <c r="G548" s="18"/>
    </row>
    <row r="549" spans="7:7" x14ac:dyDescent="0.2">
      <c r="G549" s="18"/>
    </row>
    <row r="550" spans="7:7" x14ac:dyDescent="0.2">
      <c r="G550" s="18"/>
    </row>
    <row r="551" spans="7:7" x14ac:dyDescent="0.2">
      <c r="G551" s="18"/>
    </row>
    <row r="552" spans="7:7" x14ac:dyDescent="0.2">
      <c r="G552" s="18"/>
    </row>
    <row r="553" spans="7:7" x14ac:dyDescent="0.2">
      <c r="G553" s="18"/>
    </row>
    <row r="554" spans="7:7" x14ac:dyDescent="0.2">
      <c r="G554" s="18"/>
    </row>
    <row r="555" spans="7:7" x14ac:dyDescent="0.2">
      <c r="G555" s="18"/>
    </row>
    <row r="556" spans="7:7" x14ac:dyDescent="0.2">
      <c r="G556" s="18"/>
    </row>
    <row r="557" spans="7:7" x14ac:dyDescent="0.2">
      <c r="G557" s="18"/>
    </row>
    <row r="558" spans="7:7" x14ac:dyDescent="0.2">
      <c r="G558" s="18"/>
    </row>
    <row r="559" spans="7:7" x14ac:dyDescent="0.2">
      <c r="G559" s="18"/>
    </row>
    <row r="560" spans="7:7" x14ac:dyDescent="0.2">
      <c r="G560" s="18"/>
    </row>
    <row r="561" spans="7:7" x14ac:dyDescent="0.2">
      <c r="G561" s="18"/>
    </row>
    <row r="562" spans="7:7" x14ac:dyDescent="0.2">
      <c r="G562" s="18"/>
    </row>
    <row r="563" spans="7:7" x14ac:dyDescent="0.2">
      <c r="G563" s="18"/>
    </row>
    <row r="564" spans="7:7" x14ac:dyDescent="0.2">
      <c r="G564" s="18"/>
    </row>
    <row r="565" spans="7:7" x14ac:dyDescent="0.2">
      <c r="G565" s="18"/>
    </row>
    <row r="566" spans="7:7" x14ac:dyDescent="0.2">
      <c r="G566" s="18"/>
    </row>
    <row r="567" spans="7:7" x14ac:dyDescent="0.2">
      <c r="G567" s="18"/>
    </row>
    <row r="568" spans="7:7" x14ac:dyDescent="0.2">
      <c r="G568" s="18"/>
    </row>
    <row r="569" spans="7:7" x14ac:dyDescent="0.2">
      <c r="G569" s="18"/>
    </row>
    <row r="570" spans="7:7" x14ac:dyDescent="0.2">
      <c r="G570" s="18"/>
    </row>
    <row r="571" spans="7:7" x14ac:dyDescent="0.2">
      <c r="G571" s="18"/>
    </row>
    <row r="572" spans="7:7" x14ac:dyDescent="0.2">
      <c r="G572" s="18"/>
    </row>
    <row r="573" spans="7:7" x14ac:dyDescent="0.2">
      <c r="G573" s="18"/>
    </row>
    <row r="574" spans="7:7" x14ac:dyDescent="0.2">
      <c r="G574" s="18"/>
    </row>
    <row r="575" spans="7:7" x14ac:dyDescent="0.2">
      <c r="G575" s="18"/>
    </row>
    <row r="576" spans="7:7" x14ac:dyDescent="0.2">
      <c r="G576" s="18"/>
    </row>
    <row r="577" spans="7:7" x14ac:dyDescent="0.2">
      <c r="G577" s="18"/>
    </row>
    <row r="578" spans="7:7" x14ac:dyDescent="0.2">
      <c r="G578" s="18"/>
    </row>
    <row r="579" spans="7:7" x14ac:dyDescent="0.2">
      <c r="G579" s="18"/>
    </row>
    <row r="580" spans="7:7" x14ac:dyDescent="0.2">
      <c r="G580" s="18"/>
    </row>
    <row r="581" spans="7:7" x14ac:dyDescent="0.2">
      <c r="G581" s="18"/>
    </row>
    <row r="582" spans="7:7" x14ac:dyDescent="0.2">
      <c r="G582" s="18"/>
    </row>
    <row r="583" spans="7:7" x14ac:dyDescent="0.2">
      <c r="G583" s="18"/>
    </row>
    <row r="584" spans="7:7" x14ac:dyDescent="0.2">
      <c r="G584" s="18"/>
    </row>
    <row r="585" spans="7:7" x14ac:dyDescent="0.2">
      <c r="G585" s="18"/>
    </row>
    <row r="586" spans="7:7" x14ac:dyDescent="0.2">
      <c r="G586" s="18"/>
    </row>
    <row r="587" spans="7:7" x14ac:dyDescent="0.2">
      <c r="G587" s="18"/>
    </row>
    <row r="588" spans="7:7" x14ac:dyDescent="0.2">
      <c r="G588" s="18"/>
    </row>
    <row r="589" spans="7:7" x14ac:dyDescent="0.2">
      <c r="G589" s="18"/>
    </row>
    <row r="590" spans="7:7" x14ac:dyDescent="0.2">
      <c r="G590" s="18"/>
    </row>
    <row r="591" spans="7:7" x14ac:dyDescent="0.2">
      <c r="G591" s="18"/>
    </row>
    <row r="592" spans="7:7" x14ac:dyDescent="0.2">
      <c r="G592" s="18"/>
    </row>
    <row r="593" spans="7:7" x14ac:dyDescent="0.2">
      <c r="G593" s="18"/>
    </row>
    <row r="594" spans="7:7" x14ac:dyDescent="0.2">
      <c r="G594" s="18"/>
    </row>
    <row r="595" spans="7:7" x14ac:dyDescent="0.2">
      <c r="G595" s="18"/>
    </row>
    <row r="596" spans="7:7" x14ac:dyDescent="0.2">
      <c r="G596" s="18"/>
    </row>
    <row r="597" spans="7:7" x14ac:dyDescent="0.2">
      <c r="G597" s="18"/>
    </row>
    <row r="598" spans="7:7" x14ac:dyDescent="0.2">
      <c r="G598" s="18"/>
    </row>
    <row r="599" spans="7:7" x14ac:dyDescent="0.2">
      <c r="G599" s="18"/>
    </row>
    <row r="600" spans="7:7" x14ac:dyDescent="0.2">
      <c r="G600" s="18"/>
    </row>
    <row r="601" spans="7:7" x14ac:dyDescent="0.2">
      <c r="G601" s="18"/>
    </row>
    <row r="602" spans="7:7" x14ac:dyDescent="0.2">
      <c r="G602" s="18"/>
    </row>
    <row r="603" spans="7:7" x14ac:dyDescent="0.2">
      <c r="G603" s="18"/>
    </row>
    <row r="604" spans="7:7" x14ac:dyDescent="0.2">
      <c r="G604" s="18"/>
    </row>
    <row r="605" spans="7:7" x14ac:dyDescent="0.2">
      <c r="G605" s="18"/>
    </row>
    <row r="606" spans="7:7" x14ac:dyDescent="0.2">
      <c r="G606" s="18"/>
    </row>
    <row r="607" spans="7:7" x14ac:dyDescent="0.2">
      <c r="G607" s="18"/>
    </row>
    <row r="608" spans="7:7" x14ac:dyDescent="0.2">
      <c r="G608" s="18"/>
    </row>
    <row r="609" spans="7:7" x14ac:dyDescent="0.2">
      <c r="G609" s="18"/>
    </row>
    <row r="610" spans="7:7" x14ac:dyDescent="0.2">
      <c r="G610" s="18"/>
    </row>
    <row r="611" spans="7:7" x14ac:dyDescent="0.2">
      <c r="G611" s="18"/>
    </row>
    <row r="612" spans="7:7" x14ac:dyDescent="0.2">
      <c r="G612" s="18"/>
    </row>
    <row r="613" spans="7:7" x14ac:dyDescent="0.2">
      <c r="G613" s="18"/>
    </row>
    <row r="614" spans="7:7" x14ac:dyDescent="0.2">
      <c r="G614" s="18"/>
    </row>
    <row r="615" spans="7:7" x14ac:dyDescent="0.2">
      <c r="G615" s="18"/>
    </row>
    <row r="616" spans="7:7" x14ac:dyDescent="0.2">
      <c r="G616" s="18"/>
    </row>
    <row r="617" spans="7:7" x14ac:dyDescent="0.2">
      <c r="G617" s="18"/>
    </row>
    <row r="618" spans="7:7" x14ac:dyDescent="0.2">
      <c r="G618" s="18"/>
    </row>
    <row r="619" spans="7:7" x14ac:dyDescent="0.2">
      <c r="G619" s="18"/>
    </row>
    <row r="620" spans="7:7" x14ac:dyDescent="0.2">
      <c r="G620" s="18"/>
    </row>
    <row r="621" spans="7:7" x14ac:dyDescent="0.2">
      <c r="G621" s="18"/>
    </row>
    <row r="622" spans="7:7" x14ac:dyDescent="0.2">
      <c r="G622" s="18"/>
    </row>
    <row r="623" spans="7:7" x14ac:dyDescent="0.2">
      <c r="G623" s="18"/>
    </row>
    <row r="624" spans="7:7" x14ac:dyDescent="0.2">
      <c r="G624" s="18"/>
    </row>
    <row r="625" spans="7:7" x14ac:dyDescent="0.2">
      <c r="G625" s="18"/>
    </row>
    <row r="626" spans="7:7" x14ac:dyDescent="0.2">
      <c r="G626" s="18"/>
    </row>
    <row r="627" spans="7:7" x14ac:dyDescent="0.2">
      <c r="G627" s="18"/>
    </row>
    <row r="628" spans="7:7" x14ac:dyDescent="0.2">
      <c r="G628" s="18"/>
    </row>
    <row r="629" spans="7:7" x14ac:dyDescent="0.2">
      <c r="G629" s="18"/>
    </row>
    <row r="630" spans="7:7" x14ac:dyDescent="0.2">
      <c r="G630" s="18"/>
    </row>
    <row r="631" spans="7:7" x14ac:dyDescent="0.2">
      <c r="G631" s="18"/>
    </row>
    <row r="632" spans="7:7" x14ac:dyDescent="0.2">
      <c r="G632" s="18"/>
    </row>
    <row r="633" spans="7:7" x14ac:dyDescent="0.2">
      <c r="G633" s="18"/>
    </row>
    <row r="634" spans="7:7" x14ac:dyDescent="0.2">
      <c r="G634" s="18"/>
    </row>
    <row r="635" spans="7:7" x14ac:dyDescent="0.2">
      <c r="G635" s="18"/>
    </row>
    <row r="636" spans="7:7" x14ac:dyDescent="0.2">
      <c r="G636" s="18"/>
    </row>
    <row r="637" spans="7:7" x14ac:dyDescent="0.2">
      <c r="G637" s="18"/>
    </row>
    <row r="638" spans="7:7" x14ac:dyDescent="0.2">
      <c r="G638" s="18"/>
    </row>
    <row r="639" spans="7:7" x14ac:dyDescent="0.2">
      <c r="G639" s="18"/>
    </row>
    <row r="640" spans="7:7" x14ac:dyDescent="0.2">
      <c r="G640" s="18"/>
    </row>
    <row r="641" spans="7:7" x14ac:dyDescent="0.2">
      <c r="G641" s="18"/>
    </row>
    <row r="642" spans="7:7" x14ac:dyDescent="0.2">
      <c r="G642" s="18"/>
    </row>
    <row r="643" spans="7:7" x14ac:dyDescent="0.2">
      <c r="G643" s="18"/>
    </row>
    <row r="644" spans="7:7" x14ac:dyDescent="0.2">
      <c r="G644" s="18"/>
    </row>
    <row r="645" spans="7:7" x14ac:dyDescent="0.2">
      <c r="G645" s="18"/>
    </row>
    <row r="646" spans="7:7" x14ac:dyDescent="0.2">
      <c r="G646" s="18"/>
    </row>
    <row r="647" spans="7:7" x14ac:dyDescent="0.2">
      <c r="G647" s="18"/>
    </row>
    <row r="648" spans="7:7" x14ac:dyDescent="0.2">
      <c r="G648" s="18"/>
    </row>
    <row r="649" spans="7:7" x14ac:dyDescent="0.2">
      <c r="G649" s="18"/>
    </row>
    <row r="650" spans="7:7" x14ac:dyDescent="0.2">
      <c r="G650" s="18"/>
    </row>
    <row r="651" spans="7:7" x14ac:dyDescent="0.2">
      <c r="G651" s="18"/>
    </row>
    <row r="652" spans="7:7" x14ac:dyDescent="0.2">
      <c r="G652" s="18"/>
    </row>
    <row r="653" spans="7:7" x14ac:dyDescent="0.2">
      <c r="G653" s="18"/>
    </row>
    <row r="654" spans="7:7" x14ac:dyDescent="0.2">
      <c r="G654" s="18"/>
    </row>
    <row r="655" spans="7:7" x14ac:dyDescent="0.2">
      <c r="G655" s="18"/>
    </row>
    <row r="656" spans="7:7" x14ac:dyDescent="0.2">
      <c r="G656" s="18"/>
    </row>
    <row r="657" spans="7:7" x14ac:dyDescent="0.2">
      <c r="G657" s="18"/>
    </row>
    <row r="658" spans="7:7" x14ac:dyDescent="0.2">
      <c r="G658" s="18"/>
    </row>
    <row r="659" spans="7:7" x14ac:dyDescent="0.2">
      <c r="G659" s="18"/>
    </row>
    <row r="660" spans="7:7" x14ac:dyDescent="0.2">
      <c r="G660" s="18"/>
    </row>
    <row r="661" spans="7:7" x14ac:dyDescent="0.2">
      <c r="G661" s="18"/>
    </row>
    <row r="662" spans="7:7" x14ac:dyDescent="0.2">
      <c r="G662" s="18"/>
    </row>
    <row r="663" spans="7:7" x14ac:dyDescent="0.2">
      <c r="G663" s="18"/>
    </row>
    <row r="664" spans="7:7" x14ac:dyDescent="0.2">
      <c r="G664" s="18"/>
    </row>
    <row r="665" spans="7:7" x14ac:dyDescent="0.2">
      <c r="G665" s="18"/>
    </row>
    <row r="666" spans="7:7" x14ac:dyDescent="0.2">
      <c r="G666" s="18"/>
    </row>
    <row r="667" spans="7:7" x14ac:dyDescent="0.2">
      <c r="G667" s="18"/>
    </row>
    <row r="668" spans="7:7" x14ac:dyDescent="0.2">
      <c r="G668" s="18"/>
    </row>
    <row r="669" spans="7:7" x14ac:dyDescent="0.2">
      <c r="G669" s="18"/>
    </row>
    <row r="670" spans="7:7" x14ac:dyDescent="0.2">
      <c r="G670" s="18"/>
    </row>
    <row r="671" spans="7:7" x14ac:dyDescent="0.2">
      <c r="G671" s="18"/>
    </row>
    <row r="672" spans="7:7" x14ac:dyDescent="0.2">
      <c r="G672" s="18"/>
    </row>
    <row r="673" spans="7:7" x14ac:dyDescent="0.2">
      <c r="G673" s="18"/>
    </row>
    <row r="674" spans="7:7" x14ac:dyDescent="0.2">
      <c r="G674" s="18"/>
    </row>
    <row r="675" spans="7:7" x14ac:dyDescent="0.2">
      <c r="G675" s="18"/>
    </row>
    <row r="676" spans="7:7" x14ac:dyDescent="0.2">
      <c r="G676" s="18"/>
    </row>
    <row r="677" spans="7:7" x14ac:dyDescent="0.2">
      <c r="G677" s="18"/>
    </row>
    <row r="678" spans="7:7" x14ac:dyDescent="0.2">
      <c r="G678" s="18"/>
    </row>
    <row r="679" spans="7:7" x14ac:dyDescent="0.2">
      <c r="G679" s="18"/>
    </row>
    <row r="680" spans="7:7" x14ac:dyDescent="0.2">
      <c r="G680" s="18"/>
    </row>
    <row r="681" spans="7:7" x14ac:dyDescent="0.2">
      <c r="G681" s="18"/>
    </row>
    <row r="682" spans="7:7" x14ac:dyDescent="0.2">
      <c r="G682" s="18"/>
    </row>
    <row r="683" spans="7:7" x14ac:dyDescent="0.2">
      <c r="G683" s="18"/>
    </row>
    <row r="684" spans="7:7" x14ac:dyDescent="0.2">
      <c r="G684" s="18"/>
    </row>
    <row r="685" spans="7:7" x14ac:dyDescent="0.2">
      <c r="G685" s="18"/>
    </row>
    <row r="686" spans="7:7" x14ac:dyDescent="0.2">
      <c r="G686" s="18"/>
    </row>
    <row r="687" spans="7:7" x14ac:dyDescent="0.2">
      <c r="G687" s="18"/>
    </row>
    <row r="688" spans="7:7" x14ac:dyDescent="0.2">
      <c r="G688" s="18"/>
    </row>
    <row r="689" spans="7:7" x14ac:dyDescent="0.2">
      <c r="G689" s="18"/>
    </row>
    <row r="690" spans="7:7" x14ac:dyDescent="0.2">
      <c r="G690" s="18"/>
    </row>
    <row r="691" spans="7:7" x14ac:dyDescent="0.2">
      <c r="G691" s="18"/>
    </row>
    <row r="692" spans="7:7" x14ac:dyDescent="0.2">
      <c r="G692" s="18"/>
    </row>
    <row r="693" spans="7:7" x14ac:dyDescent="0.2">
      <c r="G693" s="18"/>
    </row>
    <row r="694" spans="7:7" x14ac:dyDescent="0.2">
      <c r="G694" s="18"/>
    </row>
    <row r="695" spans="7:7" x14ac:dyDescent="0.2">
      <c r="G695" s="18"/>
    </row>
    <row r="696" spans="7:7" x14ac:dyDescent="0.2">
      <c r="G696" s="18"/>
    </row>
    <row r="697" spans="7:7" x14ac:dyDescent="0.2">
      <c r="G697" s="18"/>
    </row>
    <row r="698" spans="7:7" x14ac:dyDescent="0.2">
      <c r="G698" s="18"/>
    </row>
    <row r="699" spans="7:7" x14ac:dyDescent="0.2">
      <c r="G699" s="18"/>
    </row>
    <row r="700" spans="7:7" x14ac:dyDescent="0.2">
      <c r="G700" s="18"/>
    </row>
    <row r="701" spans="7:7" x14ac:dyDescent="0.2">
      <c r="G701" s="18"/>
    </row>
    <row r="702" spans="7:7" x14ac:dyDescent="0.2">
      <c r="G702" s="18"/>
    </row>
    <row r="703" spans="7:7" x14ac:dyDescent="0.2">
      <c r="G703" s="18"/>
    </row>
    <row r="704" spans="7:7" x14ac:dyDescent="0.2">
      <c r="G704" s="18"/>
    </row>
    <row r="705" spans="7:7" x14ac:dyDescent="0.2">
      <c r="G705" s="18"/>
    </row>
    <row r="706" spans="7:7" x14ac:dyDescent="0.2">
      <c r="G706" s="18"/>
    </row>
    <row r="707" spans="7:7" x14ac:dyDescent="0.2">
      <c r="G707" s="18"/>
    </row>
    <row r="708" spans="7:7" x14ac:dyDescent="0.2">
      <c r="G708" s="18"/>
    </row>
    <row r="709" spans="7:7" x14ac:dyDescent="0.2">
      <c r="G709" s="18"/>
    </row>
    <row r="710" spans="7:7" x14ac:dyDescent="0.2">
      <c r="G710" s="18"/>
    </row>
    <row r="711" spans="7:7" x14ac:dyDescent="0.2">
      <c r="G711" s="18"/>
    </row>
    <row r="712" spans="7:7" x14ac:dyDescent="0.2">
      <c r="G712" s="18"/>
    </row>
    <row r="713" spans="7:7" x14ac:dyDescent="0.2">
      <c r="G713" s="18"/>
    </row>
    <row r="714" spans="7:7" x14ac:dyDescent="0.2">
      <c r="G714" s="18"/>
    </row>
    <row r="715" spans="7:7" x14ac:dyDescent="0.2">
      <c r="G715" s="18"/>
    </row>
    <row r="716" spans="7:7" x14ac:dyDescent="0.2">
      <c r="G716" s="18"/>
    </row>
    <row r="717" spans="7:7" x14ac:dyDescent="0.2">
      <c r="G717" s="18"/>
    </row>
    <row r="718" spans="7:7" x14ac:dyDescent="0.2">
      <c r="G718" s="18"/>
    </row>
    <row r="719" spans="7:7" x14ac:dyDescent="0.2">
      <c r="G719" s="18"/>
    </row>
    <row r="720" spans="7:7" x14ac:dyDescent="0.2">
      <c r="G720" s="18"/>
    </row>
    <row r="721" spans="7:7" x14ac:dyDescent="0.2">
      <c r="G721" s="18"/>
    </row>
    <row r="722" spans="7:7" x14ac:dyDescent="0.2">
      <c r="G722" s="18"/>
    </row>
    <row r="723" spans="7:7" x14ac:dyDescent="0.2">
      <c r="G723" s="18"/>
    </row>
    <row r="724" spans="7:7" x14ac:dyDescent="0.2">
      <c r="G724" s="18"/>
    </row>
    <row r="725" spans="7:7" x14ac:dyDescent="0.2">
      <c r="G725" s="18"/>
    </row>
    <row r="726" spans="7:7" x14ac:dyDescent="0.2">
      <c r="G726" s="18"/>
    </row>
    <row r="727" spans="7:7" x14ac:dyDescent="0.2">
      <c r="G727" s="18"/>
    </row>
    <row r="728" spans="7:7" x14ac:dyDescent="0.2">
      <c r="G728" s="18"/>
    </row>
    <row r="729" spans="7:7" x14ac:dyDescent="0.2">
      <c r="G729" s="18"/>
    </row>
    <row r="730" spans="7:7" x14ac:dyDescent="0.2">
      <c r="G730" s="18"/>
    </row>
    <row r="731" spans="7:7" x14ac:dyDescent="0.2">
      <c r="G731" s="18"/>
    </row>
    <row r="732" spans="7:7" x14ac:dyDescent="0.2">
      <c r="G732" s="18"/>
    </row>
    <row r="733" spans="7:7" x14ac:dyDescent="0.2">
      <c r="G733" s="18"/>
    </row>
    <row r="734" spans="7:7" x14ac:dyDescent="0.2">
      <c r="G734" s="18"/>
    </row>
    <row r="735" spans="7:7" x14ac:dyDescent="0.2">
      <c r="G735" s="18"/>
    </row>
    <row r="736" spans="7:7" x14ac:dyDescent="0.2">
      <c r="G736" s="18"/>
    </row>
    <row r="737" spans="7:7" x14ac:dyDescent="0.2">
      <c r="G737" s="18"/>
    </row>
    <row r="738" spans="7:7" x14ac:dyDescent="0.2">
      <c r="G738" s="18"/>
    </row>
    <row r="739" spans="7:7" x14ac:dyDescent="0.2">
      <c r="G739" s="18"/>
    </row>
    <row r="740" spans="7:7" x14ac:dyDescent="0.2">
      <c r="G740" s="18"/>
    </row>
    <row r="741" spans="7:7" x14ac:dyDescent="0.2">
      <c r="G741" s="18"/>
    </row>
    <row r="742" spans="7:7" x14ac:dyDescent="0.2">
      <c r="G742" s="18"/>
    </row>
    <row r="743" spans="7:7" x14ac:dyDescent="0.2">
      <c r="G743" s="18"/>
    </row>
    <row r="744" spans="7:7" x14ac:dyDescent="0.2">
      <c r="G744" s="18"/>
    </row>
    <row r="745" spans="7:7" x14ac:dyDescent="0.2">
      <c r="G745" s="18"/>
    </row>
    <row r="746" spans="7:7" x14ac:dyDescent="0.2">
      <c r="G746" s="18"/>
    </row>
    <row r="747" spans="7:7" x14ac:dyDescent="0.2">
      <c r="G747" s="18"/>
    </row>
    <row r="748" spans="7:7" x14ac:dyDescent="0.2">
      <c r="G748" s="18"/>
    </row>
    <row r="749" spans="7:7" x14ac:dyDescent="0.2">
      <c r="G749" s="18"/>
    </row>
    <row r="750" spans="7:7" x14ac:dyDescent="0.2">
      <c r="G750" s="18"/>
    </row>
    <row r="751" spans="7:7" x14ac:dyDescent="0.2">
      <c r="G751" s="18"/>
    </row>
    <row r="752" spans="7:7" x14ac:dyDescent="0.2">
      <c r="G752" s="18"/>
    </row>
    <row r="753" spans="7:7" x14ac:dyDescent="0.2">
      <c r="G753" s="18"/>
    </row>
    <row r="754" spans="7:7" x14ac:dyDescent="0.2">
      <c r="G754" s="18"/>
    </row>
    <row r="755" spans="7:7" x14ac:dyDescent="0.2">
      <c r="G755" s="18"/>
    </row>
    <row r="756" spans="7:7" x14ac:dyDescent="0.2">
      <c r="G756" s="18"/>
    </row>
    <row r="757" spans="7:7" x14ac:dyDescent="0.2">
      <c r="G757" s="18"/>
    </row>
    <row r="758" spans="7:7" x14ac:dyDescent="0.2">
      <c r="G758" s="18"/>
    </row>
    <row r="759" spans="7:7" x14ac:dyDescent="0.2">
      <c r="G759" s="18"/>
    </row>
    <row r="760" spans="7:7" x14ac:dyDescent="0.2">
      <c r="G760" s="18"/>
    </row>
    <row r="761" spans="7:7" x14ac:dyDescent="0.2">
      <c r="G761" s="18"/>
    </row>
    <row r="762" spans="7:7" x14ac:dyDescent="0.2">
      <c r="G762" s="18"/>
    </row>
    <row r="763" spans="7:7" x14ac:dyDescent="0.2">
      <c r="G763" s="18"/>
    </row>
    <row r="764" spans="7:7" x14ac:dyDescent="0.2">
      <c r="G764" s="18"/>
    </row>
    <row r="765" spans="7:7" x14ac:dyDescent="0.2">
      <c r="G765" s="18"/>
    </row>
    <row r="766" spans="7:7" x14ac:dyDescent="0.2">
      <c r="G766" s="18"/>
    </row>
    <row r="767" spans="7:7" x14ac:dyDescent="0.2">
      <c r="G767" s="18"/>
    </row>
    <row r="768" spans="7:7" x14ac:dyDescent="0.2">
      <c r="G768" s="18"/>
    </row>
    <row r="769" spans="7:7" x14ac:dyDescent="0.2">
      <c r="G769" s="18"/>
    </row>
    <row r="770" spans="7:7" x14ac:dyDescent="0.2">
      <c r="G770" s="18"/>
    </row>
    <row r="771" spans="7:7" x14ac:dyDescent="0.2">
      <c r="G771" s="18"/>
    </row>
    <row r="772" spans="7:7" x14ac:dyDescent="0.2">
      <c r="G772" s="18"/>
    </row>
    <row r="773" spans="7:7" x14ac:dyDescent="0.2">
      <c r="G773" s="18"/>
    </row>
    <row r="774" spans="7:7" x14ac:dyDescent="0.2">
      <c r="G774" s="18"/>
    </row>
    <row r="775" spans="7:7" x14ac:dyDescent="0.2">
      <c r="G775" s="18"/>
    </row>
    <row r="776" spans="7:7" x14ac:dyDescent="0.2">
      <c r="G776" s="18"/>
    </row>
    <row r="777" spans="7:7" x14ac:dyDescent="0.2">
      <c r="G777" s="18"/>
    </row>
    <row r="778" spans="7:7" x14ac:dyDescent="0.2">
      <c r="G778" s="18"/>
    </row>
    <row r="779" spans="7:7" x14ac:dyDescent="0.2">
      <c r="G779" s="18"/>
    </row>
    <row r="780" spans="7:7" x14ac:dyDescent="0.2">
      <c r="G780" s="18"/>
    </row>
    <row r="781" spans="7:7" x14ac:dyDescent="0.2">
      <c r="G781" s="18"/>
    </row>
    <row r="782" spans="7:7" x14ac:dyDescent="0.2">
      <c r="G782" s="18"/>
    </row>
    <row r="783" spans="7:7" x14ac:dyDescent="0.2">
      <c r="G783" s="18"/>
    </row>
    <row r="784" spans="7:7" x14ac:dyDescent="0.2">
      <c r="G784" s="18"/>
    </row>
    <row r="785" spans="7:7" x14ac:dyDescent="0.2">
      <c r="G785" s="18"/>
    </row>
    <row r="786" spans="7:7" x14ac:dyDescent="0.2">
      <c r="G786" s="18"/>
    </row>
    <row r="787" spans="7:7" x14ac:dyDescent="0.2">
      <c r="G787" s="18"/>
    </row>
    <row r="788" spans="7:7" x14ac:dyDescent="0.2">
      <c r="G788" s="18"/>
    </row>
    <row r="789" spans="7:7" x14ac:dyDescent="0.2">
      <c r="G789" s="18"/>
    </row>
    <row r="790" spans="7:7" x14ac:dyDescent="0.2">
      <c r="G790" s="18"/>
    </row>
    <row r="791" spans="7:7" x14ac:dyDescent="0.2">
      <c r="G791" s="18"/>
    </row>
    <row r="792" spans="7:7" x14ac:dyDescent="0.2">
      <c r="G792" s="18"/>
    </row>
    <row r="793" spans="7:7" x14ac:dyDescent="0.2">
      <c r="G793" s="18"/>
    </row>
    <row r="794" spans="7:7" x14ac:dyDescent="0.2">
      <c r="G794" s="18"/>
    </row>
    <row r="795" spans="7:7" x14ac:dyDescent="0.2">
      <c r="G795" s="18"/>
    </row>
    <row r="796" spans="7:7" x14ac:dyDescent="0.2">
      <c r="G796" s="18"/>
    </row>
    <row r="797" spans="7:7" x14ac:dyDescent="0.2">
      <c r="G797" s="18"/>
    </row>
    <row r="798" spans="7:7" x14ac:dyDescent="0.2">
      <c r="G798" s="18"/>
    </row>
    <row r="799" spans="7:7" x14ac:dyDescent="0.2">
      <c r="G799" s="18"/>
    </row>
    <row r="800" spans="7:7" x14ac:dyDescent="0.2">
      <c r="G800" s="18"/>
    </row>
    <row r="801" spans="7:7" x14ac:dyDescent="0.2">
      <c r="G801" s="18"/>
    </row>
    <row r="802" spans="7:7" x14ac:dyDescent="0.2">
      <c r="G802" s="18"/>
    </row>
    <row r="803" spans="7:7" x14ac:dyDescent="0.2">
      <c r="G803" s="18"/>
    </row>
    <row r="804" spans="7:7" x14ac:dyDescent="0.2">
      <c r="G804" s="18"/>
    </row>
    <row r="805" spans="7:7" x14ac:dyDescent="0.2">
      <c r="G805" s="18"/>
    </row>
    <row r="806" spans="7:7" x14ac:dyDescent="0.2">
      <c r="G806" s="18"/>
    </row>
    <row r="807" spans="7:7" x14ac:dyDescent="0.2">
      <c r="G807" s="18"/>
    </row>
    <row r="808" spans="7:7" x14ac:dyDescent="0.2">
      <c r="G808" s="18"/>
    </row>
    <row r="809" spans="7:7" x14ac:dyDescent="0.2">
      <c r="G809" s="18"/>
    </row>
    <row r="810" spans="7:7" x14ac:dyDescent="0.2">
      <c r="G810" s="18"/>
    </row>
    <row r="811" spans="7:7" x14ac:dyDescent="0.2">
      <c r="G811" s="18"/>
    </row>
    <row r="812" spans="7:7" x14ac:dyDescent="0.2">
      <c r="G812" s="18"/>
    </row>
    <row r="813" spans="7:7" x14ac:dyDescent="0.2">
      <c r="G813" s="18"/>
    </row>
    <row r="814" spans="7:7" x14ac:dyDescent="0.2">
      <c r="G814" s="18"/>
    </row>
    <row r="815" spans="7:7" x14ac:dyDescent="0.2">
      <c r="G815" s="18"/>
    </row>
    <row r="816" spans="7:7" x14ac:dyDescent="0.2">
      <c r="G816" s="18"/>
    </row>
    <row r="817" spans="7:7" x14ac:dyDescent="0.2">
      <c r="G817" s="18"/>
    </row>
    <row r="818" spans="7:7" x14ac:dyDescent="0.2">
      <c r="G818" s="18"/>
    </row>
    <row r="819" spans="7:7" x14ac:dyDescent="0.2">
      <c r="G819" s="18"/>
    </row>
    <row r="820" spans="7:7" x14ac:dyDescent="0.2">
      <c r="G820" s="18"/>
    </row>
    <row r="821" spans="7:7" x14ac:dyDescent="0.2">
      <c r="G821" s="18"/>
    </row>
    <row r="822" spans="7:7" x14ac:dyDescent="0.2">
      <c r="G822" s="18"/>
    </row>
    <row r="823" spans="7:7" x14ac:dyDescent="0.2">
      <c r="G823" s="18"/>
    </row>
    <row r="824" spans="7:7" x14ac:dyDescent="0.2">
      <c r="G824" s="18"/>
    </row>
    <row r="825" spans="7:7" x14ac:dyDescent="0.2">
      <c r="G825" s="18"/>
    </row>
    <row r="826" spans="7:7" x14ac:dyDescent="0.2">
      <c r="G826" s="18"/>
    </row>
    <row r="827" spans="7:7" x14ac:dyDescent="0.2">
      <c r="G827" s="18"/>
    </row>
    <row r="828" spans="7:7" x14ac:dyDescent="0.2">
      <c r="G828" s="18"/>
    </row>
    <row r="829" spans="7:7" x14ac:dyDescent="0.2">
      <c r="G829" s="18"/>
    </row>
    <row r="830" spans="7:7" x14ac:dyDescent="0.2">
      <c r="G830" s="18"/>
    </row>
    <row r="831" spans="7:7" x14ac:dyDescent="0.2">
      <c r="G831" s="18"/>
    </row>
    <row r="832" spans="7:7" x14ac:dyDescent="0.2">
      <c r="G832" s="18"/>
    </row>
    <row r="833" spans="7:7" x14ac:dyDescent="0.2">
      <c r="G833" s="18"/>
    </row>
    <row r="834" spans="7:7" x14ac:dyDescent="0.2">
      <c r="G834" s="18"/>
    </row>
    <row r="835" spans="7:7" x14ac:dyDescent="0.2">
      <c r="G835" s="18"/>
    </row>
    <row r="836" spans="7:7" x14ac:dyDescent="0.2">
      <c r="G836" s="18"/>
    </row>
    <row r="837" spans="7:7" x14ac:dyDescent="0.2">
      <c r="G837" s="18"/>
    </row>
    <row r="838" spans="7:7" x14ac:dyDescent="0.2">
      <c r="G838" s="18"/>
    </row>
    <row r="839" spans="7:7" x14ac:dyDescent="0.2">
      <c r="G839" s="18"/>
    </row>
    <row r="840" spans="7:7" x14ac:dyDescent="0.2">
      <c r="G840" s="18"/>
    </row>
    <row r="841" spans="7:7" x14ac:dyDescent="0.2">
      <c r="G841" s="18"/>
    </row>
    <row r="842" spans="7:7" x14ac:dyDescent="0.2">
      <c r="G842" s="18"/>
    </row>
    <row r="843" spans="7:7" x14ac:dyDescent="0.2">
      <c r="G843" s="18"/>
    </row>
    <row r="844" spans="7:7" x14ac:dyDescent="0.2">
      <c r="G844" s="18"/>
    </row>
    <row r="845" spans="7:7" x14ac:dyDescent="0.2">
      <c r="G845" s="18"/>
    </row>
    <row r="846" spans="7:7" x14ac:dyDescent="0.2">
      <c r="G846" s="18"/>
    </row>
    <row r="847" spans="7:7" x14ac:dyDescent="0.2">
      <c r="G847" s="18"/>
    </row>
    <row r="848" spans="7:7" x14ac:dyDescent="0.2">
      <c r="G848" s="18"/>
    </row>
    <row r="849" spans="7:7" x14ac:dyDescent="0.2">
      <c r="G849" s="18"/>
    </row>
    <row r="850" spans="7:7" x14ac:dyDescent="0.2">
      <c r="G850" s="18"/>
    </row>
    <row r="851" spans="7:7" x14ac:dyDescent="0.2">
      <c r="G851" s="18"/>
    </row>
    <row r="852" spans="7:7" x14ac:dyDescent="0.2">
      <c r="G852" s="18"/>
    </row>
    <row r="853" spans="7:7" x14ac:dyDescent="0.2">
      <c r="G853" s="18"/>
    </row>
    <row r="854" spans="7:7" x14ac:dyDescent="0.2">
      <c r="G854" s="18"/>
    </row>
    <row r="855" spans="7:7" x14ac:dyDescent="0.2">
      <c r="G855" s="18"/>
    </row>
    <row r="856" spans="7:7" x14ac:dyDescent="0.2">
      <c r="G856" s="18"/>
    </row>
    <row r="857" spans="7:7" x14ac:dyDescent="0.2">
      <c r="G857" s="18"/>
    </row>
    <row r="858" spans="7:7" x14ac:dyDescent="0.2">
      <c r="G858" s="18"/>
    </row>
    <row r="859" spans="7:7" x14ac:dyDescent="0.2">
      <c r="G859" s="18"/>
    </row>
    <row r="860" spans="7:7" x14ac:dyDescent="0.2">
      <c r="G860" s="18"/>
    </row>
    <row r="861" spans="7:7" x14ac:dyDescent="0.2">
      <c r="G861" s="18"/>
    </row>
    <row r="862" spans="7:7" x14ac:dyDescent="0.2">
      <c r="G862" s="18"/>
    </row>
    <row r="863" spans="7:7" x14ac:dyDescent="0.2">
      <c r="G863" s="18"/>
    </row>
    <row r="864" spans="7:7" x14ac:dyDescent="0.2">
      <c r="G864" s="18"/>
    </row>
    <row r="865" spans="7:7" x14ac:dyDescent="0.2">
      <c r="G865" s="18"/>
    </row>
    <row r="866" spans="7:7" x14ac:dyDescent="0.2">
      <c r="G866" s="18"/>
    </row>
    <row r="867" spans="7:7" x14ac:dyDescent="0.2">
      <c r="G867" s="18"/>
    </row>
    <row r="868" spans="7:7" x14ac:dyDescent="0.2">
      <c r="G868" s="18"/>
    </row>
    <row r="869" spans="7:7" x14ac:dyDescent="0.2">
      <c r="G869" s="18"/>
    </row>
    <row r="870" spans="7:7" x14ac:dyDescent="0.2">
      <c r="G870" s="18"/>
    </row>
    <row r="871" spans="7:7" x14ac:dyDescent="0.2">
      <c r="G871" s="18"/>
    </row>
    <row r="872" spans="7:7" x14ac:dyDescent="0.2">
      <c r="G872" s="18"/>
    </row>
    <row r="873" spans="7:7" x14ac:dyDescent="0.2">
      <c r="G873" s="18"/>
    </row>
    <row r="874" spans="7:7" x14ac:dyDescent="0.2">
      <c r="G874" s="18"/>
    </row>
    <row r="875" spans="7:7" x14ac:dyDescent="0.2">
      <c r="G875" s="18"/>
    </row>
    <row r="876" spans="7:7" x14ac:dyDescent="0.2">
      <c r="G876" s="18"/>
    </row>
    <row r="877" spans="7:7" x14ac:dyDescent="0.2">
      <c r="G877" s="18"/>
    </row>
    <row r="878" spans="7:7" x14ac:dyDescent="0.2">
      <c r="G878" s="18"/>
    </row>
    <row r="879" spans="7:7" x14ac:dyDescent="0.2">
      <c r="G879" s="18"/>
    </row>
    <row r="880" spans="7:7" x14ac:dyDescent="0.2">
      <c r="G880" s="18"/>
    </row>
    <row r="881" spans="7:7" x14ac:dyDescent="0.2">
      <c r="G881" s="18"/>
    </row>
    <row r="882" spans="7:7" x14ac:dyDescent="0.2">
      <c r="G882" s="18"/>
    </row>
    <row r="883" spans="7:7" x14ac:dyDescent="0.2">
      <c r="G883" s="18"/>
    </row>
    <row r="884" spans="7:7" x14ac:dyDescent="0.2">
      <c r="G884" s="18"/>
    </row>
    <row r="885" spans="7:7" x14ac:dyDescent="0.2">
      <c r="G885" s="18"/>
    </row>
    <row r="886" spans="7:7" x14ac:dyDescent="0.2">
      <c r="G886" s="18"/>
    </row>
    <row r="887" spans="7:7" x14ac:dyDescent="0.2">
      <c r="G887" s="18"/>
    </row>
    <row r="888" spans="7:7" x14ac:dyDescent="0.2">
      <c r="G888" s="18"/>
    </row>
    <row r="889" spans="7:7" x14ac:dyDescent="0.2">
      <c r="G889" s="18"/>
    </row>
    <row r="890" spans="7:7" x14ac:dyDescent="0.2">
      <c r="G890" s="18"/>
    </row>
    <row r="891" spans="7:7" x14ac:dyDescent="0.2">
      <c r="G891" s="18"/>
    </row>
    <row r="892" spans="7:7" x14ac:dyDescent="0.2">
      <c r="G892" s="18"/>
    </row>
    <row r="893" spans="7:7" x14ac:dyDescent="0.2">
      <c r="G893" s="18"/>
    </row>
    <row r="894" spans="7:7" x14ac:dyDescent="0.2">
      <c r="G894" s="18"/>
    </row>
    <row r="895" spans="7:7" x14ac:dyDescent="0.2">
      <c r="G895" s="18"/>
    </row>
    <row r="896" spans="7:7" x14ac:dyDescent="0.2">
      <c r="G896" s="18"/>
    </row>
    <row r="897" spans="7:7" x14ac:dyDescent="0.2">
      <c r="G897" s="18"/>
    </row>
    <row r="898" spans="7:7" x14ac:dyDescent="0.2">
      <c r="G898" s="18"/>
    </row>
    <row r="899" spans="7:7" x14ac:dyDescent="0.2">
      <c r="G899" s="18"/>
    </row>
    <row r="900" spans="7:7" x14ac:dyDescent="0.2">
      <c r="G900" s="18"/>
    </row>
    <row r="901" spans="7:7" x14ac:dyDescent="0.2">
      <c r="G901" s="18"/>
    </row>
    <row r="902" spans="7:7" x14ac:dyDescent="0.2">
      <c r="G902" s="18"/>
    </row>
    <row r="903" spans="7:7" x14ac:dyDescent="0.2">
      <c r="G903" s="18"/>
    </row>
    <row r="904" spans="7:7" x14ac:dyDescent="0.2">
      <c r="G904" s="18"/>
    </row>
    <row r="905" spans="7:7" x14ac:dyDescent="0.2">
      <c r="G905" s="18"/>
    </row>
    <row r="906" spans="7:7" x14ac:dyDescent="0.2">
      <c r="G906" s="18"/>
    </row>
    <row r="907" spans="7:7" x14ac:dyDescent="0.2">
      <c r="G907" s="18"/>
    </row>
    <row r="908" spans="7:7" x14ac:dyDescent="0.2">
      <c r="G908" s="18"/>
    </row>
    <row r="909" spans="7:7" x14ac:dyDescent="0.2">
      <c r="G909" s="18"/>
    </row>
    <row r="910" spans="7:7" x14ac:dyDescent="0.2">
      <c r="G910" s="18"/>
    </row>
    <row r="911" spans="7:7" x14ac:dyDescent="0.2">
      <c r="G911" s="18"/>
    </row>
    <row r="912" spans="7:7" x14ac:dyDescent="0.2">
      <c r="G912" s="18"/>
    </row>
    <row r="913" spans="7:7" x14ac:dyDescent="0.2">
      <c r="G913" s="18"/>
    </row>
    <row r="914" spans="7:7" x14ac:dyDescent="0.2">
      <c r="G914" s="18"/>
    </row>
    <row r="915" spans="7:7" x14ac:dyDescent="0.2">
      <c r="G915" s="18"/>
    </row>
    <row r="916" spans="7:7" x14ac:dyDescent="0.2">
      <c r="G916" s="18"/>
    </row>
    <row r="917" spans="7:7" x14ac:dyDescent="0.2">
      <c r="G917" s="18"/>
    </row>
    <row r="918" spans="7:7" x14ac:dyDescent="0.2">
      <c r="G918" s="18"/>
    </row>
    <row r="919" spans="7:7" x14ac:dyDescent="0.2">
      <c r="G919" s="18"/>
    </row>
    <row r="920" spans="7:7" x14ac:dyDescent="0.2">
      <c r="G920" s="18"/>
    </row>
    <row r="921" spans="7:7" x14ac:dyDescent="0.2">
      <c r="G921" s="18"/>
    </row>
    <row r="922" spans="7:7" x14ac:dyDescent="0.2">
      <c r="G922" s="18"/>
    </row>
    <row r="923" spans="7:7" x14ac:dyDescent="0.2">
      <c r="G923" s="18"/>
    </row>
    <row r="924" spans="7:7" x14ac:dyDescent="0.2">
      <c r="G924" s="18"/>
    </row>
    <row r="925" spans="7:7" x14ac:dyDescent="0.2">
      <c r="G925" s="18"/>
    </row>
    <row r="926" spans="7:7" x14ac:dyDescent="0.2">
      <c r="G926" s="18"/>
    </row>
    <row r="927" spans="7:7" x14ac:dyDescent="0.2">
      <c r="G927" s="18"/>
    </row>
    <row r="928" spans="7:7" x14ac:dyDescent="0.2">
      <c r="G928" s="18"/>
    </row>
    <row r="929" spans="7:7" x14ac:dyDescent="0.2">
      <c r="G929" s="18"/>
    </row>
    <row r="930" spans="7:7" x14ac:dyDescent="0.2">
      <c r="G930" s="18"/>
    </row>
    <row r="931" spans="7:7" x14ac:dyDescent="0.2">
      <c r="G931" s="18"/>
    </row>
    <row r="932" spans="7:7" x14ac:dyDescent="0.2">
      <c r="G932" s="18"/>
    </row>
    <row r="933" spans="7:7" x14ac:dyDescent="0.2">
      <c r="G933" s="18"/>
    </row>
    <row r="934" spans="7:7" x14ac:dyDescent="0.2">
      <c r="G934" s="18"/>
    </row>
    <row r="935" spans="7:7" x14ac:dyDescent="0.2">
      <c r="G935" s="18"/>
    </row>
    <row r="936" spans="7:7" x14ac:dyDescent="0.2">
      <c r="G936" s="18"/>
    </row>
    <row r="937" spans="7:7" x14ac:dyDescent="0.2">
      <c r="G937" s="18"/>
    </row>
    <row r="938" spans="7:7" x14ac:dyDescent="0.2">
      <c r="G938" s="18"/>
    </row>
    <row r="939" spans="7:7" x14ac:dyDescent="0.2">
      <c r="G939" s="18"/>
    </row>
    <row r="940" spans="7:7" x14ac:dyDescent="0.2">
      <c r="G940" s="18"/>
    </row>
    <row r="941" spans="7:7" x14ac:dyDescent="0.2">
      <c r="G941" s="18"/>
    </row>
  </sheetData>
  <phoneticPr fontId="4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Taiwan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2026-05-11T09:44:49Z</dcterms:modified>
</cp:coreProperties>
</file>