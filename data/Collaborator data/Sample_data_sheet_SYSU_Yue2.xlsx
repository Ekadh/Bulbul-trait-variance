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517F0875-7DD5-CC42-BEAC-F42F8922DFC0}" xr6:coauthVersionLast="47" xr6:coauthVersionMax="47" xr10:uidLastSave="{00000000-0000-0000-0000-000000000000}"/>
  <bookViews>
    <workbookView xWindow="0" yWindow="500" windowWidth="22180" windowHeight="1536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43" i="2" l="1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Q6" i="2"/>
  <c r="Q5" i="2"/>
  <c r="Q4" i="2"/>
  <c r="Q3" i="2"/>
  <c r="Q2" i="2"/>
</calcChain>
</file>

<file path=xl/sharedStrings.xml><?xml version="1.0" encoding="utf-8"?>
<sst xmlns="http://schemas.openxmlformats.org/spreadsheetml/2006/main" count="444" uniqueCount="95">
  <si>
    <t>Family</t>
  </si>
  <si>
    <t>English Name</t>
  </si>
  <si>
    <t>Scientific_Name</t>
  </si>
  <si>
    <t>Collection</t>
  </si>
  <si>
    <t>Number/Code</t>
  </si>
  <si>
    <t>Date collected</t>
  </si>
  <si>
    <t>Locality</t>
  </si>
  <si>
    <t>Country</t>
  </si>
  <si>
    <t>sex</t>
  </si>
  <si>
    <t>Bill_TotalCulmen</t>
  </si>
  <si>
    <t>Bill_From Nostril</t>
  </si>
  <si>
    <t>Beak width</t>
  </si>
  <si>
    <t>Beak depth</t>
  </si>
  <si>
    <t>Gape Width</t>
  </si>
  <si>
    <t>Tarsus Length</t>
  </si>
  <si>
    <t>Wing Length</t>
  </si>
  <si>
    <t>Secondary Length</t>
  </si>
  <si>
    <t>Kipps Distance</t>
  </si>
  <si>
    <t>Tail Length</t>
  </si>
  <si>
    <t>Subspecies</t>
  </si>
  <si>
    <t>Comments</t>
  </si>
  <si>
    <t>Measurer</t>
  </si>
  <si>
    <t>Pycnonotidae</t>
  </si>
  <si>
    <t>Light-vented Bulbul</t>
  </si>
  <si>
    <t>Pycnonotus sinensis</t>
  </si>
  <si>
    <t>Museum of Biology,Sun Yat-sen University</t>
  </si>
  <si>
    <t>SYS0002794</t>
  </si>
  <si>
    <t>Hainan</t>
  </si>
  <si>
    <t>China</t>
  </si>
  <si>
    <t>sinensis</t>
  </si>
  <si>
    <t>SYS0002755</t>
  </si>
  <si>
    <t>Yao Mountains, Guangxi</t>
  </si>
  <si>
    <t>SYS0002773</t>
  </si>
  <si>
    <t>SYS0002754</t>
  </si>
  <si>
    <r>
      <rPr>
        <sz val="11"/>
        <color rgb="FF000000"/>
        <rFont val="Times New Roman"/>
        <family val="1"/>
      </rPr>
      <t>Yangmeilang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family val="1"/>
      </rPr>
      <t>Guangdong</t>
    </r>
  </si>
  <si>
    <t>SYS0002760</t>
  </si>
  <si>
    <t>SYS0002690</t>
  </si>
  <si>
    <t>Lingnan campus, Guangdong</t>
  </si>
  <si>
    <t>SYS0002738</t>
  </si>
  <si>
    <t>Fangcheng, Guangdong</t>
  </si>
  <si>
    <t>SYS0002733</t>
  </si>
  <si>
    <t>Conghua, Guangzhou</t>
  </si>
  <si>
    <t>SYS0002730</t>
  </si>
  <si>
    <t>SYS0002724</t>
  </si>
  <si>
    <t>Nanxiong City,Guangdong</t>
  </si>
  <si>
    <t>SYS0002780</t>
  </si>
  <si>
    <t>Wenchang City, Hainan</t>
  </si>
  <si>
    <t>SYS0002782</t>
  </si>
  <si>
    <t>Bawangling, Hainan</t>
  </si>
  <si>
    <t>SYS0002783</t>
  </si>
  <si>
    <t>Dali Township, QiongzhongLi and Miano Autonomous Country, Hainan</t>
  </si>
  <si>
    <t>SYS0002784</t>
  </si>
  <si>
    <t>SYS0002741</t>
  </si>
  <si>
    <t>SYS0002779</t>
  </si>
  <si>
    <t>Wuzhishan City, Hainan</t>
  </si>
  <si>
    <t>SYS0002750</t>
  </si>
  <si>
    <t>Guangzhou</t>
  </si>
  <si>
    <t>Lechang City, Guangdong</t>
  </si>
  <si>
    <t>SYS0002757</t>
  </si>
  <si>
    <t>Nov 1934</t>
  </si>
  <si>
    <t>Dinghu Mountian, Zhaoqing City, Guangdong</t>
  </si>
  <si>
    <t>SYS0002793</t>
  </si>
  <si>
    <t>Baisha Li Autonomous County, Hainan</t>
  </si>
  <si>
    <t>SYS0002775</t>
  </si>
  <si>
    <t>SYS0002798</t>
  </si>
  <si>
    <t>Dongfang City, Hainan</t>
  </si>
  <si>
    <t>SYS0002778</t>
  </si>
  <si>
    <t>SYS0002796</t>
  </si>
  <si>
    <t>Ningming County, Chongzuo City, Guangxi</t>
  </si>
  <si>
    <t>SYS0002772</t>
  </si>
  <si>
    <t>SYS0002805</t>
  </si>
  <si>
    <t>Meilong County, Shanwei City, Guangdong</t>
  </si>
  <si>
    <t>SYS0002788</t>
  </si>
  <si>
    <t>SYS0002790</t>
  </si>
  <si>
    <t>Jiujiang Town, Foshan City,Guangdong</t>
  </si>
  <si>
    <t>SYS0002785</t>
  </si>
  <si>
    <t>SYS0002792</t>
  </si>
  <si>
    <t>SYS0002803</t>
  </si>
  <si>
    <t>SYS0002801</t>
  </si>
  <si>
    <t>SYS0002802</t>
  </si>
  <si>
    <t>SYS0002774</t>
  </si>
  <si>
    <t>SYS0002799</t>
  </si>
  <si>
    <t>SYS0002813</t>
  </si>
  <si>
    <t>SYS0002811</t>
  </si>
  <si>
    <t>SYS0002810</t>
  </si>
  <si>
    <t>SYS0002809</t>
  </si>
  <si>
    <t>SYS0002807</t>
  </si>
  <si>
    <t>SYS0002804</t>
  </si>
  <si>
    <t>SYS0002771</t>
  </si>
  <si>
    <t>SYS0002800</t>
  </si>
  <si>
    <t>M</t>
  </si>
  <si>
    <t>F</t>
  </si>
  <si>
    <t>U</t>
  </si>
  <si>
    <t>YW</t>
  </si>
  <si>
    <t>1st of Feb 1964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</si>
</sst>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_ "/>
    <numFmt numFmtId="165" formatCode="dd\ mmm\ yyyy"/>
  </numFmts>
  <fonts count="8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SimSun"/>
      <charset val="134"/>
    </font>
    <font>
      <sz val="11"/>
      <color theme="1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sz val="11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abSelected="1" workbookViewId="0">
      <pane ySplit="1" topLeftCell="A2" activePane="bottomLeft" state="frozen"/>
      <selection pane="bottomLeft" activeCell="F3" sqref="F3"/>
    </sheetView>
  </sheetViews>
  <sheetFormatPr baseColWidth="10" defaultColWidth="8.83203125" defaultRowHeight="15"/>
  <cols>
    <col min="1" max="1" width="12.83203125" customWidth="1"/>
    <col min="2" max="2" width="18.5" customWidth="1"/>
    <col min="3" max="3" width="17.1640625" customWidth="1"/>
    <col min="4" max="4" width="40.1640625" customWidth="1"/>
    <col min="5" max="6" width="12.83203125" customWidth="1"/>
    <col min="7" max="7" width="40.83203125" customWidth="1"/>
    <col min="8" max="8" width="8" customWidth="1"/>
    <col min="9" max="9" width="4.83203125" customWidth="1"/>
    <col min="10" max="10" width="16.1640625" customWidth="1"/>
    <col min="11" max="11" width="15.83203125" customWidth="1"/>
    <col min="12" max="13" width="10.5" customWidth="1"/>
    <col min="14" max="14" width="11.1640625" customWidth="1"/>
    <col min="15" max="15" width="13.1640625" customWidth="1"/>
    <col min="16" max="16" width="12" customWidth="1"/>
    <col min="17" max="17" width="16.5" customWidth="1"/>
    <col min="18" max="18" width="13.83203125" customWidth="1"/>
    <col min="19" max="19" width="10.83203125" customWidth="1"/>
    <col min="20" max="20" width="10" customWidth="1"/>
    <col min="21" max="21" width="10.1640625" customWidth="1"/>
    <col min="22" max="22" width="8.83203125" customWidth="1"/>
  </cols>
  <sheetData>
    <row r="1" spans="1:26" ht="26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/>
      <c r="X1" s="3"/>
      <c r="Y1" s="3"/>
      <c r="Z1" s="3"/>
    </row>
    <row r="2" spans="1:26" ht="14.25" customHeight="1">
      <c r="A2" s="4" t="s">
        <v>22</v>
      </c>
      <c r="B2" s="5" t="s">
        <v>23</v>
      </c>
      <c r="C2" s="6" t="s">
        <v>24</v>
      </c>
      <c r="D2" s="5" t="s">
        <v>25</v>
      </c>
      <c r="E2" s="5" t="s">
        <v>26</v>
      </c>
      <c r="F2" s="7" t="s">
        <v>94</v>
      </c>
      <c r="G2" s="8" t="s">
        <v>27</v>
      </c>
      <c r="H2" s="5" t="s">
        <v>28</v>
      </c>
      <c r="I2" s="5" t="s">
        <v>90</v>
      </c>
      <c r="J2" s="9">
        <v>17.3</v>
      </c>
      <c r="K2" s="9">
        <v>9.4</v>
      </c>
      <c r="L2" s="9">
        <v>4.3</v>
      </c>
      <c r="M2" s="9">
        <v>4.8</v>
      </c>
      <c r="N2" s="9">
        <v>12.3</v>
      </c>
      <c r="O2" s="9">
        <v>22.1</v>
      </c>
      <c r="P2" s="9">
        <v>86.8</v>
      </c>
      <c r="Q2" s="10">
        <f t="shared" ref="Q2:Q6" si="0">P2-R2</f>
        <v>72</v>
      </c>
      <c r="R2" s="9">
        <v>14.8</v>
      </c>
      <c r="S2" s="9">
        <v>87.2</v>
      </c>
      <c r="T2" s="11" t="s">
        <v>29</v>
      </c>
      <c r="U2" s="5"/>
      <c r="V2" s="5" t="s">
        <v>93</v>
      </c>
    </row>
    <row r="3" spans="1:26" ht="14.25" customHeight="1">
      <c r="A3" s="4" t="s">
        <v>22</v>
      </c>
      <c r="B3" s="5" t="s">
        <v>23</v>
      </c>
      <c r="C3" s="6" t="s">
        <v>24</v>
      </c>
      <c r="D3" s="5" t="s">
        <v>25</v>
      </c>
      <c r="E3" s="5" t="s">
        <v>30</v>
      </c>
      <c r="F3" s="7">
        <v>10532</v>
      </c>
      <c r="G3" s="8" t="s">
        <v>31</v>
      </c>
      <c r="H3" s="5" t="s">
        <v>28</v>
      </c>
      <c r="I3" s="5" t="s">
        <v>90</v>
      </c>
      <c r="J3" s="9">
        <v>18.2</v>
      </c>
      <c r="K3" s="9">
        <v>9.4</v>
      </c>
      <c r="L3" s="9">
        <v>3.9</v>
      </c>
      <c r="M3" s="9">
        <v>4.9000000000000004</v>
      </c>
      <c r="N3" s="9">
        <v>11.1</v>
      </c>
      <c r="O3" s="9">
        <v>21.8</v>
      </c>
      <c r="P3" s="9">
        <v>83.9</v>
      </c>
      <c r="Q3" s="10">
        <f t="shared" si="0"/>
        <v>66.800000000000011</v>
      </c>
      <c r="R3" s="9">
        <v>17.100000000000001</v>
      </c>
      <c r="S3" s="9">
        <v>83.5</v>
      </c>
      <c r="T3" s="11" t="s">
        <v>29</v>
      </c>
      <c r="U3" s="5"/>
      <c r="V3" s="5" t="s">
        <v>93</v>
      </c>
    </row>
    <row r="4" spans="1:26" ht="14.25" customHeight="1">
      <c r="A4" s="4" t="s">
        <v>22</v>
      </c>
      <c r="B4" s="5" t="s">
        <v>23</v>
      </c>
      <c r="C4" s="6" t="s">
        <v>24</v>
      </c>
      <c r="D4" s="5" t="s">
        <v>25</v>
      </c>
      <c r="E4" s="5" t="s">
        <v>32</v>
      </c>
      <c r="F4" s="7">
        <v>23383</v>
      </c>
      <c r="G4" s="8" t="s">
        <v>27</v>
      </c>
      <c r="H4" s="5" t="s">
        <v>28</v>
      </c>
      <c r="I4" s="5" t="s">
        <v>90</v>
      </c>
      <c r="J4" s="9">
        <v>17.3</v>
      </c>
      <c r="K4" s="9">
        <v>9.5</v>
      </c>
      <c r="L4" s="9">
        <v>4.5</v>
      </c>
      <c r="M4" s="9">
        <v>4.4000000000000004</v>
      </c>
      <c r="N4" s="9">
        <v>10.9</v>
      </c>
      <c r="O4" s="9">
        <v>21.2</v>
      </c>
      <c r="P4" s="9">
        <v>85.4</v>
      </c>
      <c r="Q4" s="10">
        <f t="shared" si="0"/>
        <v>71.400000000000006</v>
      </c>
      <c r="R4" s="9">
        <v>14</v>
      </c>
      <c r="S4" s="9">
        <v>86.8</v>
      </c>
      <c r="T4" s="11" t="s">
        <v>29</v>
      </c>
      <c r="U4" s="5"/>
      <c r="V4" s="5" t="s">
        <v>93</v>
      </c>
    </row>
    <row r="5" spans="1:26" ht="14.25" customHeight="1">
      <c r="A5" s="4" t="s">
        <v>22</v>
      </c>
      <c r="B5" s="5" t="s">
        <v>23</v>
      </c>
      <c r="C5" s="6" t="s">
        <v>24</v>
      </c>
      <c r="D5" s="5" t="s">
        <v>25</v>
      </c>
      <c r="E5" s="5" t="s">
        <v>33</v>
      </c>
      <c r="F5" s="7">
        <v>11067</v>
      </c>
      <c r="G5" s="8" t="s">
        <v>34</v>
      </c>
      <c r="H5" s="5" t="s">
        <v>28</v>
      </c>
      <c r="I5" s="5" t="s">
        <v>91</v>
      </c>
      <c r="J5" s="9">
        <v>17</v>
      </c>
      <c r="K5" s="9">
        <v>9.1</v>
      </c>
      <c r="L5" s="9">
        <v>4</v>
      </c>
      <c r="M5" s="9">
        <v>4.2</v>
      </c>
      <c r="N5" s="9">
        <v>10.1</v>
      </c>
      <c r="O5" s="9">
        <v>23.7</v>
      </c>
      <c r="P5" s="9">
        <v>80.599999999999994</v>
      </c>
      <c r="Q5" s="10">
        <f t="shared" si="0"/>
        <v>69.699999999999989</v>
      </c>
      <c r="R5" s="9">
        <v>10.9</v>
      </c>
      <c r="S5" s="9">
        <v>71.3</v>
      </c>
      <c r="T5" s="11" t="s">
        <v>29</v>
      </c>
      <c r="U5" s="5"/>
      <c r="V5" s="5" t="s">
        <v>93</v>
      </c>
    </row>
    <row r="6" spans="1:26" ht="14.25" customHeight="1">
      <c r="A6" s="4" t="s">
        <v>22</v>
      </c>
      <c r="B6" s="5" t="s">
        <v>23</v>
      </c>
      <c r="C6" s="6" t="s">
        <v>24</v>
      </c>
      <c r="D6" s="5" t="s">
        <v>25</v>
      </c>
      <c r="E6" s="5" t="s">
        <v>35</v>
      </c>
      <c r="F6" s="7">
        <v>10582</v>
      </c>
      <c r="G6" s="8" t="s">
        <v>31</v>
      </c>
      <c r="H6" s="5" t="s">
        <v>28</v>
      </c>
      <c r="I6" s="5" t="s">
        <v>90</v>
      </c>
      <c r="J6" s="9">
        <v>17.2</v>
      </c>
      <c r="K6" s="9">
        <v>8.9</v>
      </c>
      <c r="L6" s="9">
        <v>4.8</v>
      </c>
      <c r="M6" s="9">
        <v>4.8</v>
      </c>
      <c r="N6" s="9">
        <v>12.1</v>
      </c>
      <c r="O6" s="9">
        <v>21.6</v>
      </c>
      <c r="P6" s="9">
        <v>85.8</v>
      </c>
      <c r="Q6" s="10">
        <f t="shared" si="0"/>
        <v>71.899999999999991</v>
      </c>
      <c r="R6" s="9">
        <v>13.9</v>
      </c>
      <c r="S6" s="9">
        <v>85.9</v>
      </c>
      <c r="T6" s="11" t="s">
        <v>29</v>
      </c>
      <c r="U6" s="5"/>
      <c r="V6" s="5" t="s">
        <v>93</v>
      </c>
    </row>
    <row r="7" spans="1:26">
      <c r="A7" s="4" t="s">
        <v>22</v>
      </c>
      <c r="B7" s="5" t="s">
        <v>23</v>
      </c>
      <c r="C7" s="6" t="s">
        <v>24</v>
      </c>
      <c r="D7" s="5" t="s">
        <v>25</v>
      </c>
      <c r="E7" s="5" t="s">
        <v>36</v>
      </c>
      <c r="F7" s="7">
        <v>12249</v>
      </c>
      <c r="G7" s="8" t="s">
        <v>37</v>
      </c>
      <c r="H7" s="5" t="s">
        <v>28</v>
      </c>
      <c r="I7" s="5" t="s">
        <v>92</v>
      </c>
      <c r="J7" s="9">
        <v>18.7</v>
      </c>
      <c r="K7" s="9">
        <v>9.5</v>
      </c>
      <c r="L7" s="9">
        <v>4.2</v>
      </c>
      <c r="M7" s="9">
        <v>4.8</v>
      </c>
      <c r="N7" s="9">
        <v>12.7</v>
      </c>
      <c r="O7" s="9">
        <v>23.4</v>
      </c>
      <c r="P7" s="9">
        <v>84.1</v>
      </c>
      <c r="Q7" s="9">
        <v>68.400000000000006</v>
      </c>
      <c r="R7" s="9">
        <f>(S7-Q7)</f>
        <v>20.099999999999994</v>
      </c>
      <c r="S7" s="9">
        <v>88.5</v>
      </c>
      <c r="T7" s="11" t="s">
        <v>29</v>
      </c>
      <c r="U7" s="5"/>
      <c r="V7" s="5" t="s">
        <v>93</v>
      </c>
    </row>
    <row r="8" spans="1:26">
      <c r="A8" s="4" t="s">
        <v>22</v>
      </c>
      <c r="B8" s="5" t="s">
        <v>23</v>
      </c>
      <c r="C8" s="6" t="s">
        <v>24</v>
      </c>
      <c r="D8" s="5" t="s">
        <v>25</v>
      </c>
      <c r="E8" s="5" t="s">
        <v>38</v>
      </c>
      <c r="F8" s="7">
        <v>21624</v>
      </c>
      <c r="G8" s="8" t="s">
        <v>39</v>
      </c>
      <c r="H8" s="5" t="s">
        <v>28</v>
      </c>
      <c r="I8" s="5" t="s">
        <v>92</v>
      </c>
      <c r="J8" s="9">
        <v>18.100000000000001</v>
      </c>
      <c r="K8" s="9">
        <v>9.5</v>
      </c>
      <c r="L8" s="9">
        <v>4.5999999999999996</v>
      </c>
      <c r="M8" s="9"/>
      <c r="N8" s="9"/>
      <c r="O8" s="9">
        <v>22.3</v>
      </c>
      <c r="P8" s="9">
        <v>82.6</v>
      </c>
      <c r="Q8" s="9">
        <v>66</v>
      </c>
      <c r="R8" s="9">
        <f t="shared" ref="R8:R43" si="1">(S8-Q8)</f>
        <v>12.599999999999994</v>
      </c>
      <c r="S8" s="9">
        <v>78.599999999999994</v>
      </c>
      <c r="T8" s="11" t="s">
        <v>29</v>
      </c>
      <c r="U8" s="5"/>
      <c r="V8" s="5" t="s">
        <v>93</v>
      </c>
    </row>
    <row r="9" spans="1:26">
      <c r="A9" s="4" t="s">
        <v>22</v>
      </c>
      <c r="B9" s="5" t="s">
        <v>23</v>
      </c>
      <c r="C9" s="6" t="s">
        <v>24</v>
      </c>
      <c r="D9" s="5" t="s">
        <v>25</v>
      </c>
      <c r="E9" s="5" t="s">
        <v>40</v>
      </c>
      <c r="F9" s="7">
        <v>21668</v>
      </c>
      <c r="G9" s="8" t="s">
        <v>41</v>
      </c>
      <c r="H9" s="5" t="s">
        <v>28</v>
      </c>
      <c r="I9" s="5" t="s">
        <v>90</v>
      </c>
      <c r="J9" s="9">
        <v>18.100000000000001</v>
      </c>
      <c r="K9" s="9">
        <v>10.199999999999999</v>
      </c>
      <c r="L9" s="9">
        <v>4.5</v>
      </c>
      <c r="M9" s="9">
        <v>4.9000000000000004</v>
      </c>
      <c r="N9" s="9">
        <v>13</v>
      </c>
      <c r="O9" s="9">
        <v>21.4</v>
      </c>
      <c r="P9" s="9">
        <v>88.3</v>
      </c>
      <c r="Q9" s="9">
        <v>72.099999999999994</v>
      </c>
      <c r="R9" s="9">
        <f t="shared" si="1"/>
        <v>16.400000000000006</v>
      </c>
      <c r="S9" s="9">
        <v>88.5</v>
      </c>
      <c r="T9" s="11" t="s">
        <v>29</v>
      </c>
      <c r="U9" s="5"/>
      <c r="V9" s="5" t="s">
        <v>93</v>
      </c>
    </row>
    <row r="10" spans="1:26">
      <c r="A10" s="4" t="s">
        <v>22</v>
      </c>
      <c r="B10" s="5" t="s">
        <v>23</v>
      </c>
      <c r="C10" s="6" t="s">
        <v>24</v>
      </c>
      <c r="D10" s="5" t="s">
        <v>25</v>
      </c>
      <c r="E10" s="5" t="s">
        <v>42</v>
      </c>
      <c r="F10" s="7">
        <v>21668</v>
      </c>
      <c r="G10" s="8" t="s">
        <v>41</v>
      </c>
      <c r="H10" s="5" t="s">
        <v>28</v>
      </c>
      <c r="I10" s="5" t="s">
        <v>92</v>
      </c>
      <c r="J10" s="9"/>
      <c r="K10" s="9"/>
      <c r="L10" s="9">
        <v>4.3</v>
      </c>
      <c r="M10" s="9">
        <v>5.0999999999999996</v>
      </c>
      <c r="N10" s="9">
        <v>11.1</v>
      </c>
      <c r="O10" s="9">
        <v>23.2</v>
      </c>
      <c r="P10" s="9">
        <v>89.9</v>
      </c>
      <c r="Q10" s="9">
        <v>75.599999999999994</v>
      </c>
      <c r="R10" s="9">
        <f t="shared" si="1"/>
        <v>16.700000000000003</v>
      </c>
      <c r="S10" s="9">
        <v>92.3</v>
      </c>
      <c r="T10" s="11" t="s">
        <v>29</v>
      </c>
      <c r="U10" s="5"/>
      <c r="V10" s="5" t="s">
        <v>93</v>
      </c>
    </row>
    <row r="11" spans="1:26">
      <c r="A11" s="4" t="s">
        <v>22</v>
      </c>
      <c r="B11" s="5" t="s">
        <v>23</v>
      </c>
      <c r="C11" s="6" t="s">
        <v>24</v>
      </c>
      <c r="D11" s="5" t="s">
        <v>25</v>
      </c>
      <c r="E11" s="5" t="s">
        <v>43</v>
      </c>
      <c r="F11" s="7">
        <v>20559</v>
      </c>
      <c r="G11" s="8" t="s">
        <v>44</v>
      </c>
      <c r="H11" s="5" t="s">
        <v>28</v>
      </c>
      <c r="I11" s="5" t="s">
        <v>90</v>
      </c>
      <c r="J11" s="9">
        <v>17.600000000000001</v>
      </c>
      <c r="K11" s="9">
        <v>9.5</v>
      </c>
      <c r="L11" s="9">
        <v>4.5</v>
      </c>
      <c r="M11" s="9">
        <v>4.5999999999999996</v>
      </c>
      <c r="N11" s="9">
        <v>14</v>
      </c>
      <c r="O11" s="9">
        <v>22.1</v>
      </c>
      <c r="P11" s="9">
        <v>85</v>
      </c>
      <c r="Q11" s="9">
        <v>69.099999999999994</v>
      </c>
      <c r="R11" s="9">
        <f t="shared" si="1"/>
        <v>14.100000000000009</v>
      </c>
      <c r="S11" s="9">
        <v>83.2</v>
      </c>
      <c r="T11" s="11" t="s">
        <v>29</v>
      </c>
      <c r="U11" s="5"/>
      <c r="V11" s="5" t="s">
        <v>93</v>
      </c>
    </row>
    <row r="12" spans="1:26">
      <c r="A12" s="4" t="s">
        <v>22</v>
      </c>
      <c r="B12" s="5" t="s">
        <v>23</v>
      </c>
      <c r="C12" s="6" t="s">
        <v>24</v>
      </c>
      <c r="D12" s="5" t="s">
        <v>25</v>
      </c>
      <c r="E12" s="5" t="s">
        <v>45</v>
      </c>
      <c r="F12" s="7">
        <v>21635</v>
      </c>
      <c r="G12" s="8" t="s">
        <v>46</v>
      </c>
      <c r="H12" s="5" t="s">
        <v>28</v>
      </c>
      <c r="I12" s="5" t="s">
        <v>92</v>
      </c>
      <c r="J12" s="9">
        <v>18.600000000000001</v>
      </c>
      <c r="K12" s="9">
        <v>10.199999999999999</v>
      </c>
      <c r="L12" s="9">
        <v>4.3</v>
      </c>
      <c r="M12" s="9">
        <v>5.3</v>
      </c>
      <c r="N12" s="9">
        <v>12.3</v>
      </c>
      <c r="O12" s="9">
        <v>20.6</v>
      </c>
      <c r="P12" s="9">
        <v>85.1</v>
      </c>
      <c r="Q12" s="9">
        <v>71.3</v>
      </c>
      <c r="R12" s="9">
        <f t="shared" si="1"/>
        <v>14.700000000000003</v>
      </c>
      <c r="S12" s="9">
        <v>86</v>
      </c>
      <c r="T12" s="11" t="s">
        <v>29</v>
      </c>
      <c r="U12" s="5"/>
      <c r="V12" s="5" t="s">
        <v>93</v>
      </c>
    </row>
    <row r="13" spans="1:26">
      <c r="A13" s="4" t="s">
        <v>22</v>
      </c>
      <c r="B13" s="5" t="s">
        <v>23</v>
      </c>
      <c r="C13" s="6" t="s">
        <v>24</v>
      </c>
      <c r="D13" s="5" t="s">
        <v>25</v>
      </c>
      <c r="E13" s="5" t="s">
        <v>47</v>
      </c>
      <c r="F13" s="7">
        <v>23377</v>
      </c>
      <c r="G13" s="8" t="s">
        <v>48</v>
      </c>
      <c r="H13" s="5" t="s">
        <v>28</v>
      </c>
      <c r="I13" s="5" t="s">
        <v>91</v>
      </c>
      <c r="J13" s="9">
        <v>17.100000000000001</v>
      </c>
      <c r="K13" s="9">
        <v>9.6</v>
      </c>
      <c r="L13" s="9">
        <v>4.2</v>
      </c>
      <c r="M13" s="9">
        <v>4.5999999999999996</v>
      </c>
      <c r="N13" s="9">
        <v>11</v>
      </c>
      <c r="O13" s="9">
        <v>20.5</v>
      </c>
      <c r="P13" s="9">
        <v>79.400000000000006</v>
      </c>
      <c r="Q13" s="9">
        <v>64.099999999999994</v>
      </c>
      <c r="R13" s="9">
        <f t="shared" si="1"/>
        <v>10.700000000000003</v>
      </c>
      <c r="S13" s="9">
        <v>74.8</v>
      </c>
      <c r="T13" s="11" t="s">
        <v>29</v>
      </c>
      <c r="U13" s="5"/>
      <c r="V13" s="5" t="s">
        <v>93</v>
      </c>
    </row>
    <row r="14" spans="1:26" ht="30">
      <c r="A14" s="4" t="s">
        <v>22</v>
      </c>
      <c r="B14" s="5" t="s">
        <v>23</v>
      </c>
      <c r="C14" s="6" t="s">
        <v>24</v>
      </c>
      <c r="D14" s="5" t="s">
        <v>25</v>
      </c>
      <c r="E14" s="5" t="s">
        <v>49</v>
      </c>
      <c r="F14" s="7">
        <v>20936</v>
      </c>
      <c r="G14" s="8" t="s">
        <v>50</v>
      </c>
      <c r="H14" s="5" t="s">
        <v>28</v>
      </c>
      <c r="I14" s="5" t="s">
        <v>90</v>
      </c>
      <c r="J14" s="9">
        <v>17.8</v>
      </c>
      <c r="K14" s="9">
        <v>9.6999999999999993</v>
      </c>
      <c r="L14" s="9">
        <v>4.2</v>
      </c>
      <c r="M14" s="9">
        <v>4.9000000000000004</v>
      </c>
      <c r="N14" s="9">
        <v>10.6</v>
      </c>
      <c r="O14" s="9">
        <v>21.4</v>
      </c>
      <c r="P14" s="9">
        <v>86.9</v>
      </c>
      <c r="Q14" s="9">
        <v>72.599999999999994</v>
      </c>
      <c r="R14" s="9">
        <f t="shared" si="1"/>
        <v>13.900000000000006</v>
      </c>
      <c r="S14" s="9">
        <v>86.5</v>
      </c>
      <c r="T14" s="11" t="s">
        <v>29</v>
      </c>
      <c r="U14" s="5"/>
      <c r="V14" s="5" t="s">
        <v>93</v>
      </c>
    </row>
    <row r="15" spans="1:26">
      <c r="A15" s="4" t="s">
        <v>22</v>
      </c>
      <c r="B15" s="5" t="s">
        <v>23</v>
      </c>
      <c r="C15" s="6" t="s">
        <v>24</v>
      </c>
      <c r="D15" s="5" t="s">
        <v>25</v>
      </c>
      <c r="E15" s="5" t="s">
        <v>51</v>
      </c>
      <c r="F15" s="7">
        <v>21632</v>
      </c>
      <c r="G15" s="8" t="s">
        <v>46</v>
      </c>
      <c r="H15" s="5" t="s">
        <v>28</v>
      </c>
      <c r="I15" s="5" t="s">
        <v>90</v>
      </c>
      <c r="J15" s="9">
        <v>17.8</v>
      </c>
      <c r="K15" s="9">
        <v>10.5</v>
      </c>
      <c r="L15" s="9">
        <v>4.5</v>
      </c>
      <c r="M15" s="9"/>
      <c r="N15" s="9">
        <v>9.6</v>
      </c>
      <c r="O15" s="9">
        <v>22.5</v>
      </c>
      <c r="P15" s="9">
        <v>77.599999999999994</v>
      </c>
      <c r="Q15" s="9">
        <v>68.099999999999994</v>
      </c>
      <c r="R15" s="9">
        <f t="shared" si="1"/>
        <v>9.6000000000000085</v>
      </c>
      <c r="S15" s="9">
        <v>77.7</v>
      </c>
      <c r="T15" s="11" t="s">
        <v>29</v>
      </c>
      <c r="U15" s="5"/>
      <c r="V15" s="5" t="s">
        <v>93</v>
      </c>
    </row>
    <row r="16" spans="1:26">
      <c r="A16" s="4" t="s">
        <v>22</v>
      </c>
      <c r="B16" s="5" t="s">
        <v>23</v>
      </c>
      <c r="C16" s="6" t="s">
        <v>24</v>
      </c>
      <c r="D16" s="5" t="s">
        <v>25</v>
      </c>
      <c r="E16" s="5" t="s">
        <v>52</v>
      </c>
      <c r="F16" s="7">
        <v>21669</v>
      </c>
      <c r="G16" s="8" t="s">
        <v>41</v>
      </c>
      <c r="H16" s="5" t="s">
        <v>28</v>
      </c>
      <c r="I16" s="5" t="s">
        <v>91</v>
      </c>
      <c r="J16" s="9">
        <v>18.399999999999999</v>
      </c>
      <c r="K16" s="9">
        <v>9.6</v>
      </c>
      <c r="L16" s="9">
        <v>4.7</v>
      </c>
      <c r="M16" s="9"/>
      <c r="N16" s="9">
        <v>11.7</v>
      </c>
      <c r="O16" s="9">
        <v>22</v>
      </c>
      <c r="P16" s="9">
        <v>85.3</v>
      </c>
      <c r="Q16" s="9">
        <v>71.8</v>
      </c>
      <c r="R16" s="9">
        <f t="shared" si="1"/>
        <v>10</v>
      </c>
      <c r="S16" s="9">
        <v>81.8</v>
      </c>
      <c r="T16" s="11" t="s">
        <v>29</v>
      </c>
      <c r="U16" s="5"/>
      <c r="V16" s="5" t="s">
        <v>93</v>
      </c>
    </row>
    <row r="17" spans="1:22">
      <c r="A17" s="4" t="s">
        <v>22</v>
      </c>
      <c r="B17" s="5" t="s">
        <v>23</v>
      </c>
      <c r="C17" s="6" t="s">
        <v>24</v>
      </c>
      <c r="D17" s="5" t="s">
        <v>25</v>
      </c>
      <c r="E17" s="5" t="s">
        <v>53</v>
      </c>
      <c r="F17" s="7">
        <v>20775</v>
      </c>
      <c r="G17" s="8" t="s">
        <v>54</v>
      </c>
      <c r="H17" s="5" t="s">
        <v>28</v>
      </c>
      <c r="I17" s="5" t="s">
        <v>92</v>
      </c>
      <c r="J17" s="9">
        <v>16.3</v>
      </c>
      <c r="K17" s="9">
        <v>8.6999999999999993</v>
      </c>
      <c r="L17" s="9">
        <v>4.4000000000000004</v>
      </c>
      <c r="M17" s="9"/>
      <c r="N17" s="9"/>
      <c r="O17" s="9">
        <v>21.5</v>
      </c>
      <c r="P17" s="9">
        <v>82.1</v>
      </c>
      <c r="Q17" s="9">
        <v>66.3</v>
      </c>
      <c r="R17" s="9">
        <f t="shared" si="1"/>
        <v>14.5</v>
      </c>
      <c r="S17" s="9">
        <v>80.8</v>
      </c>
      <c r="T17" s="11" t="s">
        <v>29</v>
      </c>
      <c r="U17" s="5"/>
      <c r="V17" s="5" t="s">
        <v>93</v>
      </c>
    </row>
    <row r="18" spans="1:22">
      <c r="A18" s="4" t="s">
        <v>22</v>
      </c>
      <c r="B18" s="5" t="s">
        <v>23</v>
      </c>
      <c r="C18" s="6" t="s">
        <v>24</v>
      </c>
      <c r="D18" s="5" t="s">
        <v>25</v>
      </c>
      <c r="E18" s="5" t="s">
        <v>55</v>
      </c>
      <c r="F18" s="7">
        <v>17156</v>
      </c>
      <c r="G18" s="8" t="s">
        <v>56</v>
      </c>
      <c r="H18" s="5" t="s">
        <v>28</v>
      </c>
      <c r="I18" s="5" t="s">
        <v>91</v>
      </c>
      <c r="J18" s="9">
        <v>18</v>
      </c>
      <c r="K18" s="9">
        <v>10.3</v>
      </c>
      <c r="L18" s="9">
        <v>4.4000000000000004</v>
      </c>
      <c r="M18" s="9">
        <v>4.9000000000000004</v>
      </c>
      <c r="N18" s="9">
        <v>8.6</v>
      </c>
      <c r="O18" s="9">
        <v>23.1</v>
      </c>
      <c r="P18" s="9">
        <v>79.5</v>
      </c>
      <c r="Q18" s="9">
        <v>63.2</v>
      </c>
      <c r="R18" s="9">
        <f t="shared" si="1"/>
        <v>6.2999999999999972</v>
      </c>
      <c r="S18" s="9">
        <v>69.5</v>
      </c>
      <c r="T18" s="11" t="s">
        <v>29</v>
      </c>
      <c r="U18" s="5"/>
      <c r="V18" s="5" t="s">
        <v>93</v>
      </c>
    </row>
    <row r="19" spans="1:22">
      <c r="A19" s="4" t="s">
        <v>22</v>
      </c>
      <c r="B19" s="5" t="s">
        <v>23</v>
      </c>
      <c r="C19" s="6" t="s">
        <v>24</v>
      </c>
      <c r="D19" s="5" t="s">
        <v>25</v>
      </c>
      <c r="E19" s="5" t="s">
        <v>58</v>
      </c>
      <c r="F19" s="12" t="s">
        <v>59</v>
      </c>
      <c r="G19" s="8" t="s">
        <v>60</v>
      </c>
      <c r="H19" s="5" t="s">
        <v>28</v>
      </c>
      <c r="I19" s="5" t="s">
        <v>91</v>
      </c>
      <c r="J19" s="9">
        <v>17.7</v>
      </c>
      <c r="K19" s="9">
        <v>9.1</v>
      </c>
      <c r="L19" s="9">
        <v>4.2</v>
      </c>
      <c r="M19" s="9">
        <v>4.5999999999999996</v>
      </c>
      <c r="N19" s="9">
        <v>9.5</v>
      </c>
      <c r="O19" s="9"/>
      <c r="P19" s="9">
        <v>81.5</v>
      </c>
      <c r="Q19" s="9">
        <v>66</v>
      </c>
      <c r="R19" s="9">
        <f t="shared" si="1"/>
        <v>11.700000000000003</v>
      </c>
      <c r="S19" s="9">
        <v>77.7</v>
      </c>
      <c r="T19" s="11" t="s">
        <v>29</v>
      </c>
      <c r="U19" s="5"/>
      <c r="V19" s="5" t="s">
        <v>93</v>
      </c>
    </row>
    <row r="20" spans="1:22">
      <c r="A20" s="4" t="s">
        <v>22</v>
      </c>
      <c r="B20" s="5" t="s">
        <v>23</v>
      </c>
      <c r="C20" s="6" t="s">
        <v>24</v>
      </c>
      <c r="D20" s="5" t="s">
        <v>25</v>
      </c>
      <c r="E20" s="5" t="s">
        <v>61</v>
      </c>
      <c r="F20" s="7">
        <v>20951</v>
      </c>
      <c r="G20" s="8" t="s">
        <v>62</v>
      </c>
      <c r="H20" s="5" t="s">
        <v>28</v>
      </c>
      <c r="I20" s="5" t="s">
        <v>91</v>
      </c>
      <c r="J20" s="9">
        <v>16.7</v>
      </c>
      <c r="K20" s="9">
        <v>9.9</v>
      </c>
      <c r="L20" s="9"/>
      <c r="M20" s="9">
        <v>4.5</v>
      </c>
      <c r="N20" s="9">
        <v>8.8000000000000007</v>
      </c>
      <c r="O20" s="9">
        <v>21.9</v>
      </c>
      <c r="P20" s="9">
        <v>86.6</v>
      </c>
      <c r="Q20" s="9">
        <v>71</v>
      </c>
      <c r="R20" s="9">
        <f t="shared" si="1"/>
        <v>14.599999999999994</v>
      </c>
      <c r="S20" s="9">
        <v>85.6</v>
      </c>
      <c r="T20" s="11" t="s">
        <v>29</v>
      </c>
      <c r="U20" s="5"/>
      <c r="V20" s="5" t="s">
        <v>93</v>
      </c>
    </row>
    <row r="21" spans="1:22">
      <c r="A21" s="4" t="s">
        <v>22</v>
      </c>
      <c r="B21" s="5" t="s">
        <v>23</v>
      </c>
      <c r="C21" s="6" t="s">
        <v>24</v>
      </c>
      <c r="D21" s="5" t="s">
        <v>25</v>
      </c>
      <c r="E21" s="5" t="s">
        <v>63</v>
      </c>
      <c r="F21" s="7">
        <v>21640</v>
      </c>
      <c r="G21" s="8" t="s">
        <v>62</v>
      </c>
      <c r="H21" s="5" t="s">
        <v>28</v>
      </c>
      <c r="I21" s="5" t="s">
        <v>91</v>
      </c>
      <c r="J21" s="9">
        <v>17.3</v>
      </c>
      <c r="K21" s="9">
        <v>10.3</v>
      </c>
      <c r="L21" s="9">
        <v>4.4000000000000004</v>
      </c>
      <c r="M21" s="9"/>
      <c r="N21" s="9">
        <v>10</v>
      </c>
      <c r="O21" s="9">
        <v>22.1</v>
      </c>
      <c r="P21" s="9">
        <v>83.1</v>
      </c>
      <c r="Q21" s="9">
        <v>70.400000000000006</v>
      </c>
      <c r="R21" s="9">
        <f t="shared" si="1"/>
        <v>13.599999999999994</v>
      </c>
      <c r="S21" s="9">
        <v>84</v>
      </c>
      <c r="T21" s="11" t="s">
        <v>29</v>
      </c>
      <c r="U21" s="5"/>
      <c r="V21" s="5" t="s">
        <v>93</v>
      </c>
    </row>
    <row r="22" spans="1:22">
      <c r="A22" s="4" t="s">
        <v>22</v>
      </c>
      <c r="B22" s="5" t="s">
        <v>23</v>
      </c>
      <c r="C22" s="6" t="s">
        <v>24</v>
      </c>
      <c r="D22" s="5" t="s">
        <v>25</v>
      </c>
      <c r="E22" s="5" t="s">
        <v>64</v>
      </c>
      <c r="F22" s="7">
        <v>21011</v>
      </c>
      <c r="G22" s="8" t="s">
        <v>65</v>
      </c>
      <c r="H22" s="5" t="s">
        <v>28</v>
      </c>
      <c r="I22" s="5" t="s">
        <v>91</v>
      </c>
      <c r="J22" s="9">
        <v>16.600000000000001</v>
      </c>
      <c r="K22" s="9">
        <v>9.6</v>
      </c>
      <c r="L22" s="9">
        <v>4.5999999999999996</v>
      </c>
      <c r="M22" s="9">
        <v>4.7</v>
      </c>
      <c r="N22" s="9">
        <v>10</v>
      </c>
      <c r="O22" s="9">
        <v>21</v>
      </c>
      <c r="P22" s="9">
        <v>81.8</v>
      </c>
      <c r="Q22" s="9">
        <v>66</v>
      </c>
      <c r="R22" s="9">
        <f t="shared" si="1"/>
        <v>16.599999999999994</v>
      </c>
      <c r="S22" s="9">
        <v>82.6</v>
      </c>
      <c r="T22" s="11" t="s">
        <v>29</v>
      </c>
      <c r="U22" s="5"/>
      <c r="V22" s="5" t="s">
        <v>93</v>
      </c>
    </row>
    <row r="23" spans="1:22">
      <c r="A23" s="4" t="s">
        <v>22</v>
      </c>
      <c r="B23" s="5" t="s">
        <v>23</v>
      </c>
      <c r="C23" s="6" t="s">
        <v>24</v>
      </c>
      <c r="D23" s="5" t="s">
        <v>25</v>
      </c>
      <c r="E23" s="5" t="s">
        <v>66</v>
      </c>
      <c r="F23" s="7">
        <v>20781</v>
      </c>
      <c r="G23" s="8" t="s">
        <v>54</v>
      </c>
      <c r="H23" s="5" t="s">
        <v>28</v>
      </c>
      <c r="I23" s="5" t="s">
        <v>91</v>
      </c>
      <c r="J23" s="9">
        <v>17.7</v>
      </c>
      <c r="K23" s="9">
        <v>9.5</v>
      </c>
      <c r="L23" s="9">
        <v>4.3</v>
      </c>
      <c r="M23" s="9">
        <v>4.9000000000000004</v>
      </c>
      <c r="N23" s="9">
        <v>10.3</v>
      </c>
      <c r="O23" s="9">
        <v>20.6</v>
      </c>
      <c r="P23" s="9">
        <v>86.2</v>
      </c>
      <c r="Q23" s="9">
        <v>71.3</v>
      </c>
      <c r="R23" s="9">
        <f t="shared" si="1"/>
        <v>10</v>
      </c>
      <c r="S23" s="9">
        <v>81.3</v>
      </c>
      <c r="T23" s="11" t="s">
        <v>29</v>
      </c>
      <c r="U23" s="5"/>
      <c r="V23" s="5" t="s">
        <v>93</v>
      </c>
    </row>
    <row r="24" spans="1:22">
      <c r="A24" s="4" t="s">
        <v>22</v>
      </c>
      <c r="B24" s="5" t="s">
        <v>23</v>
      </c>
      <c r="C24" s="6" t="s">
        <v>24</v>
      </c>
      <c r="D24" s="5" t="s">
        <v>25</v>
      </c>
      <c r="E24" s="5" t="s">
        <v>67</v>
      </c>
      <c r="F24" s="7">
        <v>29174</v>
      </c>
      <c r="G24" s="8" t="s">
        <v>68</v>
      </c>
      <c r="H24" s="5" t="s">
        <v>28</v>
      </c>
      <c r="I24" s="5" t="s">
        <v>90</v>
      </c>
      <c r="J24" s="9">
        <v>18.399999999999999</v>
      </c>
      <c r="K24" s="9">
        <v>9.6999999999999993</v>
      </c>
      <c r="L24" s="9">
        <v>4.5999999999999996</v>
      </c>
      <c r="M24" s="9"/>
      <c r="N24" s="9">
        <v>8.9</v>
      </c>
      <c r="O24" s="9"/>
      <c r="P24" s="9">
        <v>83.7</v>
      </c>
      <c r="Q24" s="9">
        <v>64.400000000000006</v>
      </c>
      <c r="R24" s="9">
        <f t="shared" si="1"/>
        <v>18.199999999999989</v>
      </c>
      <c r="S24" s="9">
        <v>82.6</v>
      </c>
      <c r="T24" s="11" t="s">
        <v>29</v>
      </c>
      <c r="U24" s="5"/>
      <c r="V24" s="5" t="s">
        <v>93</v>
      </c>
    </row>
    <row r="25" spans="1:22">
      <c r="A25" s="4" t="s">
        <v>22</v>
      </c>
      <c r="B25" s="5" t="s">
        <v>23</v>
      </c>
      <c r="C25" s="6" t="s">
        <v>24</v>
      </c>
      <c r="D25" s="5" t="s">
        <v>25</v>
      </c>
      <c r="E25" s="5" t="s">
        <v>69</v>
      </c>
      <c r="F25" s="7">
        <v>21635</v>
      </c>
      <c r="G25" s="8" t="s">
        <v>46</v>
      </c>
      <c r="H25" s="5" t="s">
        <v>28</v>
      </c>
      <c r="I25" s="5" t="s">
        <v>90</v>
      </c>
      <c r="J25" s="9">
        <v>17.899999999999999</v>
      </c>
      <c r="K25" s="9">
        <v>9.8000000000000007</v>
      </c>
      <c r="L25" s="9">
        <v>4.7</v>
      </c>
      <c r="M25" s="9">
        <v>12.4</v>
      </c>
      <c r="N25" s="9">
        <v>12.4</v>
      </c>
      <c r="O25" s="9">
        <v>22.1</v>
      </c>
      <c r="P25" s="9">
        <v>85.5</v>
      </c>
      <c r="Q25" s="9">
        <v>71</v>
      </c>
      <c r="R25" s="9">
        <f t="shared" si="1"/>
        <v>16.299999999999997</v>
      </c>
      <c r="S25" s="9">
        <v>87.3</v>
      </c>
      <c r="T25" s="11" t="s">
        <v>29</v>
      </c>
      <c r="U25" s="5"/>
      <c r="V25" s="5" t="s">
        <v>93</v>
      </c>
    </row>
    <row r="26" spans="1:22">
      <c r="A26" s="4" t="s">
        <v>22</v>
      </c>
      <c r="B26" s="5" t="s">
        <v>23</v>
      </c>
      <c r="C26" s="6" t="s">
        <v>24</v>
      </c>
      <c r="D26" s="5" t="s">
        <v>25</v>
      </c>
      <c r="E26" s="5" t="s">
        <v>70</v>
      </c>
      <c r="F26" s="7">
        <v>23771</v>
      </c>
      <c r="G26" s="8" t="s">
        <v>71</v>
      </c>
      <c r="H26" s="5" t="s">
        <v>28</v>
      </c>
      <c r="I26" s="5" t="s">
        <v>90</v>
      </c>
      <c r="J26" s="9">
        <v>16.600000000000001</v>
      </c>
      <c r="K26" s="9">
        <v>9.3000000000000007</v>
      </c>
      <c r="L26" s="9">
        <v>4.0999999999999996</v>
      </c>
      <c r="M26" s="9">
        <v>4.9000000000000004</v>
      </c>
      <c r="N26" s="9">
        <v>10.199999999999999</v>
      </c>
      <c r="O26" s="9">
        <v>20.7</v>
      </c>
      <c r="P26" s="9">
        <v>82.6</v>
      </c>
      <c r="Q26" s="9">
        <v>65.8</v>
      </c>
      <c r="R26" s="9">
        <f t="shared" si="1"/>
        <v>14.799999999999997</v>
      </c>
      <c r="S26" s="9">
        <v>80.599999999999994</v>
      </c>
      <c r="T26" s="11" t="s">
        <v>29</v>
      </c>
      <c r="U26" s="5"/>
      <c r="V26" s="5" t="s">
        <v>93</v>
      </c>
    </row>
    <row r="27" spans="1:22">
      <c r="A27" s="4" t="s">
        <v>22</v>
      </c>
      <c r="B27" s="5" t="s">
        <v>23</v>
      </c>
      <c r="C27" s="6" t="s">
        <v>24</v>
      </c>
      <c r="D27" s="5" t="s">
        <v>25</v>
      </c>
      <c r="E27" s="5" t="s">
        <v>72</v>
      </c>
      <c r="F27" s="7">
        <v>23771</v>
      </c>
      <c r="G27" s="8" t="s">
        <v>71</v>
      </c>
      <c r="H27" s="5" t="s">
        <v>28</v>
      </c>
      <c r="I27" s="5" t="s">
        <v>91</v>
      </c>
      <c r="J27" s="9">
        <v>17.2</v>
      </c>
      <c r="K27" s="9">
        <v>9.1</v>
      </c>
      <c r="L27" s="9">
        <v>4.4000000000000004</v>
      </c>
      <c r="M27" s="9">
        <v>5</v>
      </c>
      <c r="N27" s="9">
        <v>11.4</v>
      </c>
      <c r="O27" s="9">
        <v>20.6</v>
      </c>
      <c r="P27" s="9">
        <v>81.400000000000006</v>
      </c>
      <c r="Q27" s="9">
        <v>65</v>
      </c>
      <c r="R27" s="9">
        <f t="shared" si="1"/>
        <v>13.599999999999994</v>
      </c>
      <c r="S27" s="9">
        <v>78.599999999999994</v>
      </c>
      <c r="T27" s="11" t="s">
        <v>29</v>
      </c>
      <c r="U27" s="5"/>
      <c r="V27" s="5" t="s">
        <v>93</v>
      </c>
    </row>
    <row r="28" spans="1:22">
      <c r="A28" s="4" t="s">
        <v>22</v>
      </c>
      <c r="B28" s="5" t="s">
        <v>23</v>
      </c>
      <c r="C28" s="6" t="s">
        <v>24</v>
      </c>
      <c r="D28" s="5" t="s">
        <v>25</v>
      </c>
      <c r="E28" s="5" t="s">
        <v>73</v>
      </c>
      <c r="F28" s="7">
        <v>24087</v>
      </c>
      <c r="G28" s="8" t="s">
        <v>74</v>
      </c>
      <c r="H28" s="5" t="s">
        <v>28</v>
      </c>
      <c r="I28" s="5" t="s">
        <v>91</v>
      </c>
      <c r="J28" s="9">
        <v>17.600000000000001</v>
      </c>
      <c r="K28" s="9">
        <v>9.6</v>
      </c>
      <c r="L28" s="9">
        <v>4.5</v>
      </c>
      <c r="M28" s="9">
        <v>4.8</v>
      </c>
      <c r="N28" s="9">
        <v>11</v>
      </c>
      <c r="O28" s="9">
        <v>21.9</v>
      </c>
      <c r="P28" s="9">
        <v>85.6</v>
      </c>
      <c r="Q28" s="9">
        <v>69.099999999999994</v>
      </c>
      <c r="R28" s="9">
        <f t="shared" si="1"/>
        <v>16.400000000000006</v>
      </c>
      <c r="S28" s="9">
        <v>85.5</v>
      </c>
      <c r="T28" s="11" t="s">
        <v>29</v>
      </c>
      <c r="U28" s="5"/>
      <c r="V28" s="5" t="s">
        <v>93</v>
      </c>
    </row>
    <row r="29" spans="1:22">
      <c r="A29" s="4" t="s">
        <v>22</v>
      </c>
      <c r="B29" s="5" t="s">
        <v>23</v>
      </c>
      <c r="C29" s="6" t="s">
        <v>24</v>
      </c>
      <c r="D29" s="5" t="s">
        <v>25</v>
      </c>
      <c r="E29" s="5" t="s">
        <v>75</v>
      </c>
      <c r="F29" s="7">
        <v>21634</v>
      </c>
      <c r="G29" s="8" t="s">
        <v>46</v>
      </c>
      <c r="H29" s="5" t="s">
        <v>28</v>
      </c>
      <c r="I29" s="5" t="s">
        <v>92</v>
      </c>
      <c r="J29" s="9">
        <v>18.5</v>
      </c>
      <c r="K29" s="9">
        <v>9.9</v>
      </c>
      <c r="L29" s="9">
        <v>4.7</v>
      </c>
      <c r="M29" s="9">
        <v>4.9000000000000004</v>
      </c>
      <c r="N29" s="9">
        <v>11.2</v>
      </c>
      <c r="O29" s="9">
        <v>19.100000000000001</v>
      </c>
      <c r="P29" s="9">
        <v>85</v>
      </c>
      <c r="Q29" s="9">
        <v>73.900000000000006</v>
      </c>
      <c r="R29" s="9">
        <f t="shared" si="1"/>
        <v>7.8999999999999915</v>
      </c>
      <c r="S29" s="9">
        <v>81.8</v>
      </c>
      <c r="T29" s="11" t="s">
        <v>29</v>
      </c>
      <c r="U29" s="5"/>
      <c r="V29" s="5" t="s">
        <v>93</v>
      </c>
    </row>
    <row r="30" spans="1:22">
      <c r="A30" s="4" t="s">
        <v>22</v>
      </c>
      <c r="B30" s="5" t="s">
        <v>23</v>
      </c>
      <c r="C30" s="6" t="s">
        <v>24</v>
      </c>
      <c r="D30" s="5" t="s">
        <v>25</v>
      </c>
      <c r="E30" s="5" t="s">
        <v>76</v>
      </c>
      <c r="F30" s="7">
        <v>23762</v>
      </c>
      <c r="G30" s="8" t="s">
        <v>41</v>
      </c>
      <c r="H30" s="5" t="s">
        <v>28</v>
      </c>
      <c r="I30" s="5" t="s">
        <v>90</v>
      </c>
      <c r="J30" s="9">
        <v>20.100000000000001</v>
      </c>
      <c r="K30" s="9">
        <v>11.1</v>
      </c>
      <c r="L30" s="9">
        <v>5</v>
      </c>
      <c r="M30" s="9">
        <v>5.3</v>
      </c>
      <c r="N30" s="9">
        <v>10.3</v>
      </c>
      <c r="O30" s="9">
        <v>24.8</v>
      </c>
      <c r="P30" s="9">
        <v>88.1</v>
      </c>
      <c r="Q30" s="9">
        <v>73.3</v>
      </c>
      <c r="R30" s="9">
        <f t="shared" si="1"/>
        <v>15.299999999999997</v>
      </c>
      <c r="S30" s="9">
        <v>88.6</v>
      </c>
      <c r="T30" s="11" t="s">
        <v>29</v>
      </c>
      <c r="U30" s="5"/>
      <c r="V30" s="5" t="s">
        <v>93</v>
      </c>
    </row>
    <row r="31" spans="1:22">
      <c r="A31" s="4" t="s">
        <v>22</v>
      </c>
      <c r="B31" s="5" t="s">
        <v>23</v>
      </c>
      <c r="C31" s="6" t="s">
        <v>24</v>
      </c>
      <c r="D31" s="5" t="s">
        <v>25</v>
      </c>
      <c r="E31" s="5" t="s">
        <v>77</v>
      </c>
      <c r="F31" s="7">
        <v>23192</v>
      </c>
      <c r="G31" s="8" t="s">
        <v>57</v>
      </c>
      <c r="H31" s="5" t="s">
        <v>28</v>
      </c>
      <c r="I31" s="5" t="s">
        <v>91</v>
      </c>
      <c r="J31" s="9">
        <v>17.600000000000001</v>
      </c>
      <c r="K31" s="9">
        <v>17.399999999999999</v>
      </c>
      <c r="L31" s="9">
        <v>4.8</v>
      </c>
      <c r="M31" s="9">
        <v>5</v>
      </c>
      <c r="N31" s="9">
        <v>10</v>
      </c>
      <c r="O31" s="9">
        <v>21</v>
      </c>
      <c r="P31" s="9">
        <v>82.3</v>
      </c>
      <c r="Q31" s="9">
        <v>67.5</v>
      </c>
      <c r="R31" s="9">
        <f t="shared" si="1"/>
        <v>15.900000000000006</v>
      </c>
      <c r="S31" s="9">
        <v>83.4</v>
      </c>
      <c r="T31" s="11" t="s">
        <v>29</v>
      </c>
      <c r="U31" s="5"/>
      <c r="V31" s="5" t="s">
        <v>93</v>
      </c>
    </row>
    <row r="32" spans="1:22">
      <c r="A32" s="4" t="s">
        <v>22</v>
      </c>
      <c r="B32" s="5" t="s">
        <v>23</v>
      </c>
      <c r="C32" s="6" t="s">
        <v>24</v>
      </c>
      <c r="D32" s="5" t="s">
        <v>25</v>
      </c>
      <c r="E32" s="5" t="s">
        <v>78</v>
      </c>
      <c r="F32" s="7">
        <v>21634</v>
      </c>
      <c r="G32" s="8" t="s">
        <v>46</v>
      </c>
      <c r="H32" s="5" t="s">
        <v>28</v>
      </c>
      <c r="I32" s="5" t="s">
        <v>90</v>
      </c>
      <c r="J32" s="9">
        <v>18</v>
      </c>
      <c r="K32" s="9">
        <v>10.3</v>
      </c>
      <c r="L32" s="9">
        <v>4.8</v>
      </c>
      <c r="M32" s="9">
        <v>5.0999999999999996</v>
      </c>
      <c r="N32" s="9">
        <v>9.6999999999999993</v>
      </c>
      <c r="O32" s="9">
        <v>23.3</v>
      </c>
      <c r="P32" s="9">
        <v>84.2</v>
      </c>
      <c r="Q32" s="9">
        <v>71</v>
      </c>
      <c r="R32" s="9">
        <f t="shared" si="1"/>
        <v>10.099999999999994</v>
      </c>
      <c r="S32" s="9">
        <v>81.099999999999994</v>
      </c>
      <c r="T32" s="11" t="s">
        <v>29</v>
      </c>
      <c r="U32" s="5"/>
      <c r="V32" s="5" t="s">
        <v>93</v>
      </c>
    </row>
    <row r="33" spans="1:22" ht="30">
      <c r="A33" s="4" t="s">
        <v>22</v>
      </c>
      <c r="B33" s="5" t="s">
        <v>23</v>
      </c>
      <c r="C33" s="6" t="s">
        <v>24</v>
      </c>
      <c r="D33" s="5" t="s">
        <v>25</v>
      </c>
      <c r="E33" s="5" t="s">
        <v>79</v>
      </c>
      <c r="F33" s="7">
        <v>20937</v>
      </c>
      <c r="G33" s="8" t="s">
        <v>50</v>
      </c>
      <c r="H33" s="5" t="s">
        <v>28</v>
      </c>
      <c r="I33" s="5" t="s">
        <v>91</v>
      </c>
      <c r="J33" s="9">
        <v>18</v>
      </c>
      <c r="K33" s="9">
        <v>10.3</v>
      </c>
      <c r="L33" s="9">
        <v>4.2</v>
      </c>
      <c r="M33" s="9">
        <v>4.5</v>
      </c>
      <c r="N33" s="9">
        <v>9.9</v>
      </c>
      <c r="O33" s="9">
        <v>19.8</v>
      </c>
      <c r="P33" s="9">
        <v>79.8</v>
      </c>
      <c r="Q33" s="9">
        <v>65.099999999999994</v>
      </c>
      <c r="R33" s="9">
        <f t="shared" si="1"/>
        <v>13.600000000000009</v>
      </c>
      <c r="S33" s="9">
        <v>78.7</v>
      </c>
      <c r="T33" s="11" t="s">
        <v>29</v>
      </c>
      <c r="U33" s="5"/>
      <c r="V33" s="5" t="s">
        <v>93</v>
      </c>
    </row>
    <row r="34" spans="1:22">
      <c r="A34" s="4" t="s">
        <v>22</v>
      </c>
      <c r="B34" s="5" t="s">
        <v>23</v>
      </c>
      <c r="C34" s="6" t="s">
        <v>24</v>
      </c>
      <c r="D34" s="5" t="s">
        <v>25</v>
      </c>
      <c r="E34" s="5" t="s">
        <v>80</v>
      </c>
      <c r="F34" s="7">
        <v>21641</v>
      </c>
      <c r="G34" s="8" t="s">
        <v>62</v>
      </c>
      <c r="H34" s="5" t="s">
        <v>28</v>
      </c>
      <c r="I34" s="5" t="s">
        <v>90</v>
      </c>
      <c r="J34" s="9">
        <v>16.899999999999999</v>
      </c>
      <c r="K34" s="9">
        <v>9.4</v>
      </c>
      <c r="L34" s="9">
        <v>4.5999999999999996</v>
      </c>
      <c r="M34" s="9">
        <v>4.9000000000000004</v>
      </c>
      <c r="N34" s="9">
        <v>11.1</v>
      </c>
      <c r="O34" s="9">
        <v>18.600000000000001</v>
      </c>
      <c r="P34" s="9">
        <v>86.6</v>
      </c>
      <c r="Q34" s="9">
        <v>71.900000000000006</v>
      </c>
      <c r="R34" s="9">
        <f t="shared" si="1"/>
        <v>10</v>
      </c>
      <c r="S34" s="9">
        <v>81.900000000000006</v>
      </c>
      <c r="T34" s="11" t="s">
        <v>29</v>
      </c>
      <c r="U34" s="5"/>
      <c r="V34" s="5" t="s">
        <v>93</v>
      </c>
    </row>
    <row r="35" spans="1:22">
      <c r="A35" s="4" t="s">
        <v>22</v>
      </c>
      <c r="B35" s="5" t="s">
        <v>23</v>
      </c>
      <c r="C35" s="6" t="s">
        <v>24</v>
      </c>
      <c r="D35" s="5" t="s">
        <v>25</v>
      </c>
      <c r="E35" s="5" t="s">
        <v>81</v>
      </c>
      <c r="F35" s="7">
        <v>21011</v>
      </c>
      <c r="G35" s="8" t="s">
        <v>65</v>
      </c>
      <c r="H35" s="5" t="s">
        <v>28</v>
      </c>
      <c r="I35" s="5" t="s">
        <v>90</v>
      </c>
      <c r="J35" s="9">
        <v>17.3</v>
      </c>
      <c r="K35" s="9">
        <v>10</v>
      </c>
      <c r="L35" s="9">
        <v>4.8</v>
      </c>
      <c r="M35" s="9">
        <v>4.7</v>
      </c>
      <c r="N35" s="9">
        <v>10.1</v>
      </c>
      <c r="O35" s="9">
        <v>20.8</v>
      </c>
      <c r="P35" s="9">
        <v>79.900000000000006</v>
      </c>
      <c r="Q35" s="9">
        <v>69.5</v>
      </c>
      <c r="R35" s="9">
        <f t="shared" si="1"/>
        <v>6.9000000000000057</v>
      </c>
      <c r="S35" s="9">
        <v>76.400000000000006</v>
      </c>
      <c r="T35" s="11" t="s">
        <v>29</v>
      </c>
      <c r="U35" s="5"/>
      <c r="V35" s="5" t="s">
        <v>93</v>
      </c>
    </row>
    <row r="36" spans="1:22">
      <c r="A36" s="4" t="s">
        <v>22</v>
      </c>
      <c r="B36" s="5" t="s">
        <v>23</v>
      </c>
      <c r="C36" s="6" t="s">
        <v>24</v>
      </c>
      <c r="D36" s="5" t="s">
        <v>25</v>
      </c>
      <c r="E36" s="5" t="s">
        <v>82</v>
      </c>
      <c r="F36" s="7">
        <v>21640</v>
      </c>
      <c r="G36" s="8" t="s">
        <v>62</v>
      </c>
      <c r="H36" s="5" t="s">
        <v>28</v>
      </c>
      <c r="I36" s="5" t="s">
        <v>92</v>
      </c>
      <c r="J36" s="9">
        <v>17.899999999999999</v>
      </c>
      <c r="K36" s="9">
        <v>9.9</v>
      </c>
      <c r="L36" s="9">
        <v>4.2</v>
      </c>
      <c r="M36" s="9">
        <v>4.9000000000000004</v>
      </c>
      <c r="N36" s="9">
        <v>11.1</v>
      </c>
      <c r="O36" s="9">
        <v>20.399999999999999</v>
      </c>
      <c r="P36" s="9">
        <v>84.4</v>
      </c>
      <c r="Q36" s="9">
        <v>68.8</v>
      </c>
      <c r="R36" s="9">
        <f t="shared" si="1"/>
        <v>8.7999999999999972</v>
      </c>
      <c r="S36" s="9">
        <v>77.599999999999994</v>
      </c>
      <c r="T36" s="11" t="s">
        <v>29</v>
      </c>
      <c r="U36" s="5"/>
      <c r="V36" s="5" t="s">
        <v>93</v>
      </c>
    </row>
    <row r="37" spans="1:22">
      <c r="A37" s="4" t="s">
        <v>22</v>
      </c>
      <c r="B37" s="5" t="s">
        <v>23</v>
      </c>
      <c r="C37" s="6" t="s">
        <v>24</v>
      </c>
      <c r="D37" s="5" t="s">
        <v>25</v>
      </c>
      <c r="E37" s="5" t="s">
        <v>83</v>
      </c>
      <c r="F37" s="7">
        <v>21632</v>
      </c>
      <c r="G37" s="8" t="s">
        <v>46</v>
      </c>
      <c r="H37" s="5" t="s">
        <v>28</v>
      </c>
      <c r="I37" s="5" t="s">
        <v>91</v>
      </c>
      <c r="J37" s="9">
        <v>18.600000000000001</v>
      </c>
      <c r="K37" s="9">
        <v>9.6</v>
      </c>
      <c r="L37" s="9">
        <v>4.8</v>
      </c>
      <c r="M37" s="9">
        <v>4.9000000000000004</v>
      </c>
      <c r="N37" s="9">
        <v>9.9</v>
      </c>
      <c r="O37" s="9">
        <v>20.5</v>
      </c>
      <c r="P37" s="9">
        <v>81.400000000000006</v>
      </c>
      <c r="Q37" s="9">
        <v>66.400000000000006</v>
      </c>
      <c r="R37" s="9">
        <f t="shared" si="1"/>
        <v>13.699999999999989</v>
      </c>
      <c r="S37" s="9">
        <v>80.099999999999994</v>
      </c>
      <c r="T37" s="11" t="s">
        <v>29</v>
      </c>
      <c r="U37" s="5"/>
      <c r="V37" s="5" t="s">
        <v>93</v>
      </c>
    </row>
    <row r="38" spans="1:22">
      <c r="A38" s="4" t="s">
        <v>22</v>
      </c>
      <c r="B38" s="5" t="s">
        <v>23</v>
      </c>
      <c r="C38" s="6" t="s">
        <v>24</v>
      </c>
      <c r="D38" s="5" t="s">
        <v>25</v>
      </c>
      <c r="E38" s="5" t="s">
        <v>84</v>
      </c>
      <c r="F38" s="7">
        <v>21009</v>
      </c>
      <c r="G38" s="8" t="s">
        <v>65</v>
      </c>
      <c r="H38" s="5" t="s">
        <v>28</v>
      </c>
      <c r="I38" s="5" t="s">
        <v>91</v>
      </c>
      <c r="J38" s="9">
        <v>18.100000000000001</v>
      </c>
      <c r="K38" s="9">
        <v>9.9</v>
      </c>
      <c r="L38" s="9">
        <v>4.5</v>
      </c>
      <c r="M38" s="9">
        <v>5.3</v>
      </c>
      <c r="N38" s="9">
        <v>12.1</v>
      </c>
      <c r="O38" s="9">
        <v>20.9</v>
      </c>
      <c r="P38" s="9">
        <v>80.5</v>
      </c>
      <c r="Q38" s="9">
        <v>66.099999999999994</v>
      </c>
      <c r="R38" s="9">
        <f t="shared" si="1"/>
        <v>4</v>
      </c>
      <c r="S38" s="9">
        <v>70.099999999999994</v>
      </c>
      <c r="T38" s="11" t="s">
        <v>29</v>
      </c>
      <c r="U38" s="5"/>
      <c r="V38" s="5" t="s">
        <v>93</v>
      </c>
    </row>
    <row r="39" spans="1:22">
      <c r="A39" s="4" t="s">
        <v>22</v>
      </c>
      <c r="B39" s="5" t="s">
        <v>23</v>
      </c>
      <c r="C39" s="6" t="s">
        <v>24</v>
      </c>
      <c r="D39" s="5" t="s">
        <v>25</v>
      </c>
      <c r="E39" s="5" t="s">
        <v>85</v>
      </c>
      <c r="F39" s="7">
        <v>21015</v>
      </c>
      <c r="G39" s="8" t="s">
        <v>62</v>
      </c>
      <c r="H39" s="5" t="s">
        <v>28</v>
      </c>
      <c r="I39" s="5" t="s">
        <v>91</v>
      </c>
      <c r="J39" s="9">
        <v>17.3</v>
      </c>
      <c r="K39" s="9">
        <v>9.1</v>
      </c>
      <c r="L39" s="9">
        <v>4.4000000000000004</v>
      </c>
      <c r="M39" s="9"/>
      <c r="N39" s="9">
        <v>11.6</v>
      </c>
      <c r="O39" s="9">
        <v>21.3</v>
      </c>
      <c r="P39" s="9">
        <v>75.3</v>
      </c>
      <c r="Q39" s="9">
        <v>66.5</v>
      </c>
      <c r="R39" s="9">
        <f t="shared" si="1"/>
        <v>6.2999999999999972</v>
      </c>
      <c r="S39" s="9">
        <v>72.8</v>
      </c>
      <c r="T39" s="11" t="s">
        <v>29</v>
      </c>
      <c r="U39" s="5"/>
      <c r="V39" s="5" t="s">
        <v>93</v>
      </c>
    </row>
    <row r="40" spans="1:22" ht="30">
      <c r="A40" s="4" t="s">
        <v>22</v>
      </c>
      <c r="B40" s="5" t="s">
        <v>23</v>
      </c>
      <c r="C40" s="6" t="s">
        <v>24</v>
      </c>
      <c r="D40" s="5" t="s">
        <v>25</v>
      </c>
      <c r="E40" s="5" t="s">
        <v>86</v>
      </c>
      <c r="F40" s="7">
        <v>20929</v>
      </c>
      <c r="G40" s="8" t="s">
        <v>50</v>
      </c>
      <c r="H40" s="5" t="s">
        <v>28</v>
      </c>
      <c r="I40" s="5" t="s">
        <v>91</v>
      </c>
      <c r="J40" s="9">
        <v>19.600000000000001</v>
      </c>
      <c r="K40" s="9">
        <v>10</v>
      </c>
      <c r="L40" s="9">
        <v>4.5</v>
      </c>
      <c r="M40" s="9"/>
      <c r="N40" s="9">
        <v>11</v>
      </c>
      <c r="O40" s="9">
        <v>19.7</v>
      </c>
      <c r="P40" s="9">
        <v>81</v>
      </c>
      <c r="Q40" s="9">
        <v>68.400000000000006</v>
      </c>
      <c r="R40" s="9">
        <f t="shared" si="1"/>
        <v>7.5</v>
      </c>
      <c r="S40" s="9">
        <v>75.900000000000006</v>
      </c>
      <c r="T40" s="11" t="s">
        <v>29</v>
      </c>
      <c r="U40" s="5"/>
      <c r="V40" s="5" t="s">
        <v>93</v>
      </c>
    </row>
    <row r="41" spans="1:22">
      <c r="A41" s="4" t="s">
        <v>22</v>
      </c>
      <c r="B41" s="5" t="s">
        <v>23</v>
      </c>
      <c r="C41" s="6" t="s">
        <v>24</v>
      </c>
      <c r="D41" s="5" t="s">
        <v>25</v>
      </c>
      <c r="E41" s="5" t="s">
        <v>87</v>
      </c>
      <c r="F41" s="7">
        <v>23192</v>
      </c>
      <c r="G41" s="8" t="s">
        <v>57</v>
      </c>
      <c r="H41" s="5" t="s">
        <v>28</v>
      </c>
      <c r="I41" s="5" t="s">
        <v>91</v>
      </c>
      <c r="J41" s="9">
        <v>17.100000000000001</v>
      </c>
      <c r="K41" s="9">
        <v>8.1</v>
      </c>
      <c r="L41" s="9">
        <v>4</v>
      </c>
      <c r="M41" s="9">
        <v>4.0999999999999996</v>
      </c>
      <c r="N41" s="9">
        <v>10.9</v>
      </c>
      <c r="O41" s="9">
        <v>20.2</v>
      </c>
      <c r="P41" s="9">
        <v>80.400000000000006</v>
      </c>
      <c r="Q41" s="9">
        <v>67.2</v>
      </c>
      <c r="R41" s="9">
        <f t="shared" si="1"/>
        <v>14.899999999999991</v>
      </c>
      <c r="S41" s="9">
        <v>82.1</v>
      </c>
      <c r="T41" s="11" t="s">
        <v>29</v>
      </c>
      <c r="U41" s="5"/>
      <c r="V41" s="5" t="s">
        <v>93</v>
      </c>
    </row>
    <row r="42" spans="1:22" ht="30">
      <c r="A42" s="4" t="s">
        <v>22</v>
      </c>
      <c r="B42" s="5" t="s">
        <v>23</v>
      </c>
      <c r="C42" s="6" t="s">
        <v>24</v>
      </c>
      <c r="D42" s="5" t="s">
        <v>25</v>
      </c>
      <c r="E42" s="5" t="s">
        <v>88</v>
      </c>
      <c r="F42" s="7">
        <v>20933</v>
      </c>
      <c r="G42" s="8" t="s">
        <v>50</v>
      </c>
      <c r="H42" s="5" t="s">
        <v>28</v>
      </c>
      <c r="I42" s="5" t="s">
        <v>90</v>
      </c>
      <c r="J42" s="9">
        <v>16.899999999999999</v>
      </c>
      <c r="K42" s="9">
        <v>9.1999999999999993</v>
      </c>
      <c r="L42" s="9">
        <v>4.5</v>
      </c>
      <c r="M42" s="9">
        <v>4.5999999999999996</v>
      </c>
      <c r="N42" s="9">
        <v>11.5</v>
      </c>
      <c r="O42" s="9">
        <v>23.1</v>
      </c>
      <c r="P42" s="9">
        <v>82.8</v>
      </c>
      <c r="Q42" s="9">
        <v>67.8</v>
      </c>
      <c r="R42" s="9">
        <f t="shared" si="1"/>
        <v>11.299999999999997</v>
      </c>
      <c r="S42" s="9">
        <v>79.099999999999994</v>
      </c>
      <c r="T42" s="11" t="s">
        <v>29</v>
      </c>
      <c r="U42" s="5"/>
      <c r="V42" s="5" t="s">
        <v>93</v>
      </c>
    </row>
    <row r="43" spans="1:22">
      <c r="A43" s="4" t="s">
        <v>22</v>
      </c>
      <c r="B43" s="5" t="s">
        <v>23</v>
      </c>
      <c r="C43" s="6" t="s">
        <v>24</v>
      </c>
      <c r="D43" s="5" t="s">
        <v>25</v>
      </c>
      <c r="E43" s="5" t="s">
        <v>89</v>
      </c>
      <c r="F43" s="7">
        <v>21642</v>
      </c>
      <c r="G43" s="8" t="s">
        <v>62</v>
      </c>
      <c r="H43" s="5" t="s">
        <v>28</v>
      </c>
      <c r="I43" s="5" t="s">
        <v>90</v>
      </c>
      <c r="J43" s="9">
        <v>17</v>
      </c>
      <c r="K43" s="9">
        <v>9.5</v>
      </c>
      <c r="L43" s="9">
        <v>4.4000000000000004</v>
      </c>
      <c r="M43" s="9">
        <v>4.4000000000000004</v>
      </c>
      <c r="N43" s="9">
        <v>12.1</v>
      </c>
      <c r="O43" s="9">
        <v>19.5</v>
      </c>
      <c r="P43" s="9">
        <v>85.4</v>
      </c>
      <c r="Q43" s="9">
        <v>72.599999999999994</v>
      </c>
      <c r="R43" s="9">
        <f t="shared" si="1"/>
        <v>13.5</v>
      </c>
      <c r="S43" s="9">
        <v>86.1</v>
      </c>
      <c r="T43" s="11" t="s">
        <v>29</v>
      </c>
      <c r="U43" s="5"/>
      <c r="V43" s="5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2023-05-12T11:15:00Z</dcterms:created>
  <dcterms:modified xsi:type="dcterms:W3CDTF">2026-07-05T18:25:13Z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30C3F9855AB14CDD9D320A8A14E4F0E3_13</vt:lpwstr>
  </property>
  <property fmtid="{D5CDD505-2E9C-101B-9397-08002B2CF9AE}" pid="4" name="CalculationRule">
    <vt:i4>0</vt:i4>
  </property>
</Properties>
</file>