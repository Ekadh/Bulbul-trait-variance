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/>
  <mc:AlternateContent xmlns:mc="http://schemas.openxmlformats.org/markup-compatibility/2006">
    <mc:Choice Requires="x15">
      <x15ac:absPath xmlns:x15ac="http://schemas.microsoft.com/office/spreadsheetml/2010/11/ac" url="/Users/yangliubnu/Desktop/"/>
    </mc:Choice>
  </mc:AlternateContent>
  <xr:revisionPtr revIDLastSave="0" documentId="8_{51B70A4F-D7C7-8843-9F76-8870F264E817}" xr6:coauthVersionLast="47" xr6:coauthVersionMax="47" xr10:uidLastSave="{00000000-0000-0000-0000-000000000000}"/>
  <bookViews>
    <workbookView xWindow="0" yWindow="760" windowWidth="30240" windowHeight="171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<sst xmlns="http://schemas.openxmlformats.org/spreadsheetml/2006/main" count="52" uniqueCount="25">
  <si>
    <t>Species</t>
  </si>
  <si>
    <t>Beaklength
Culmen</t>
  </si>
  <si>
    <t>Beaklength
Nares</t>
  </si>
  <si>
    <t>Beak width</t>
  </si>
  <si>
    <t>Beak depth</t>
  </si>
  <si>
    <t>Tarsus Length</t>
  </si>
  <si>
    <t>Wing Length</t>
  </si>
  <si>
    <t>Secondary Length</t>
  </si>
  <si>
    <t>Kipps Distance</t>
  </si>
  <si>
    <t>Tail Length</t>
  </si>
  <si>
    <t>Pycnonotus sinensis</t>
  </si>
  <si>
    <t>Hainan</t>
  </si>
  <si>
    <t>Yao Mountains, Guangxi</t>
  </si>
  <si>
    <t>Pycnonotus jocosus</t>
  </si>
  <si>
    <t>(Temporarily unavailable)</t>
  </si>
  <si>
    <t>Shaoguan City,Guangdong</t>
  </si>
  <si>
    <t>Conghua District, Guangzhou City, Guangdong</t>
  </si>
  <si>
    <t>Hemixos castanonotus</t>
  </si>
  <si>
    <t>Baisha Li Autonomous County, Hainan</t>
  </si>
  <si>
    <t>Qiongzhong Li Autonomous County, Hainan</t>
  </si>
  <si>
    <t>Alophoixus pallidus</t>
  </si>
  <si>
    <t>Dongfang City, Hainan</t>
  </si>
  <si>
    <t>Wenchang City, Hainan</t>
  </si>
  <si>
    <t>Locality</t>
  </si>
  <si>
    <t>Voucher Number（SYSb）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</si>
</sst>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_ "/>
  </numFmts>
  <fonts count="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indexed="8"/>
      <name val="宋体"/>
      <charset val="134"/>
    </font>
    <font>
      <b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168" fontId="0" fillId="0" borderId="0" xfId="0" applyNumberForma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8" fontId="3" fillId="0" borderId="2" xfId="1" applyNumberFormat="1" applyFont="1" applyBorder="1" applyAlignment="1">
      <alignment horizontal="center" vertical="center" wrapText="1"/>
    </xf>
    <xf numFmtId="168" fontId="4" fillId="0" borderId="2" xfId="0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168" fontId="6" fillId="0" borderId="2" xfId="1" applyNumberFormat="1" applyFont="1" applyBorder="1" applyAlignment="1">
      <alignment horizontal="center" vertical="center" wrapText="1"/>
    </xf>
    <xf numFmtId="168" fontId="7" fillId="0" borderId="2" xfId="0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</cellXfs>
  <cellStyles count="2">
    <cellStyle name="Normal" xfId="0" builtinId="0"/>
    <cellStyle name="常规_Sheet1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A12" workbookViewId="0">
      <selection activeCell="Q4" sqref="Q4"/>
    </sheetView>
  </sheetViews>
  <sheetFormatPr baseColWidth="10" defaultColWidth="9" defaultRowHeight="15"/>
  <cols>
    <col min="1" max="2" width="14.6640625" customWidth="1"/>
    <col min="3" max="3" width="18.5" customWidth="1"/>
    <col min="4" max="12" width="14.6640625" style="2" customWidth="1"/>
  </cols>
  <sheetData>
    <row r="1" spans="1:12" s="1" customFormat="1" ht="30">
      <c r="A1" s="3" t="s">
        <v>0</v>
      </c>
      <c r="B1" s="4" t="s">
        <v>24</v>
      </c>
      <c r="C1" s="4" t="s">
        <v>23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6" t="s">
        <v>8</v>
      </c>
      <c r="L1" s="6" t="s">
        <v>9</v>
      </c>
    </row>
    <row r="2" spans="1:12" ht="53" customHeight="1">
      <c r="A2" s="7" t="s">
        <v>10</v>
      </c>
      <c r="B2" s="8">
        <v>2794</v>
      </c>
      <c r="C2" s="8" t="s">
        <v>11</v>
      </c>
      <c r="D2" s="9">
        <v>17.3</v>
      </c>
      <c r="E2" s="9">
        <v>9.4</v>
      </c>
      <c r="F2" s="9">
        <v>4.8</v>
      </c>
      <c r="G2" s="9">
        <v>4.3</v>
      </c>
      <c r="H2" s="9">
        <v>22.1</v>
      </c>
      <c r="I2" s="9">
        <v>86.8</v>
      </c>
      <c r="J2" s="10">
        <f>I2-K2</f>
        <v>72</v>
      </c>
      <c r="K2" s="9">
        <v>14.8</v>
      </c>
      <c r="L2" s="9">
        <v>87.2</v>
      </c>
    </row>
    <row r="3" spans="1:12" ht="53" customHeight="1">
      <c r="A3" s="7" t="s">
        <v>10</v>
      </c>
      <c r="B3" s="8">
        <v>2755</v>
      </c>
      <c r="C3" s="8" t="s">
        <v>12</v>
      </c>
      <c r="D3" s="9">
        <v>18.2</v>
      </c>
      <c r="E3" s="9">
        <v>9.4</v>
      </c>
      <c r="F3" s="9">
        <v>4.9000000000000004</v>
      </c>
      <c r="G3" s="9">
        <v>3.9</v>
      </c>
      <c r="H3" s="9">
        <v>21.8</v>
      </c>
      <c r="I3" s="9">
        <v>83.9</v>
      </c>
      <c r="J3" s="10">
        <f t="shared" ref="J3:J21" si="0">I3-K3</f>
        <v>66.8</v>
      </c>
      <c r="K3" s="9">
        <v>17.100000000000001</v>
      </c>
      <c r="L3" s="9">
        <v>83.5</v>
      </c>
    </row>
    <row r="4" spans="1:12" ht="53" customHeight="1">
      <c r="A4" s="7" t="s">
        <v>10</v>
      </c>
      <c r="B4" s="8">
        <v>2773</v>
      </c>
      <c r="C4" s="8" t="s">
        <v>11</v>
      </c>
      <c r="D4" s="9">
        <v>17.3</v>
      </c>
      <c r="E4" s="9">
        <v>9.5</v>
      </c>
      <c r="F4" s="9">
        <v>4.4000000000000004</v>
      </c>
      <c r="G4" s="9">
        <v>4.5</v>
      </c>
      <c r="H4" s="9">
        <v>21.2</v>
      </c>
      <c r="I4" s="9">
        <v>85.4</v>
      </c>
      <c r="J4" s="10">
        <f t="shared" si="0"/>
        <v>71.400000000000006</v>
      </c>
      <c r="K4" s="9">
        <v>14</v>
      </c>
      <c r="L4" s="9">
        <v>86.8</v>
      </c>
    </row>
    <row r="5" spans="1:12" ht="53" customHeight="1">
      <c r="A5" s="7" t="s">
        <v>10</v>
      </c>
      <c r="B5" s="8">
        <v>2754</v>
      </c>
      <c r="C5" s="8" t="s">
        <v>11</v>
      </c>
      <c r="D5" s="9">
        <v>17</v>
      </c>
      <c r="E5" s="9">
        <v>9.1</v>
      </c>
      <c r="F5" s="9">
        <v>4.2</v>
      </c>
      <c r="G5" s="9">
        <v>4</v>
      </c>
      <c r="H5" s="9">
        <v>23.7</v>
      </c>
      <c r="I5" s="9">
        <v>80.599999999999994</v>
      </c>
      <c r="J5" s="10">
        <f t="shared" si="0"/>
        <v>69.7</v>
      </c>
      <c r="K5" s="9">
        <v>10.9</v>
      </c>
      <c r="L5" s="9">
        <v>71.3</v>
      </c>
    </row>
    <row r="6" spans="1:12" ht="53" customHeight="1">
      <c r="A6" s="7" t="s">
        <v>10</v>
      </c>
      <c r="B6" s="8">
        <v>2760</v>
      </c>
      <c r="C6" s="8" t="s">
        <v>12</v>
      </c>
      <c r="D6" s="9">
        <v>17.2</v>
      </c>
      <c r="E6" s="9">
        <v>8.9</v>
      </c>
      <c r="F6" s="9">
        <v>4.8</v>
      </c>
      <c r="G6" s="9">
        <v>4.8</v>
      </c>
      <c r="H6" s="9">
        <v>21.6</v>
      </c>
      <c r="I6" s="9">
        <v>85.8</v>
      </c>
      <c r="J6" s="10">
        <f t="shared" si="0"/>
        <v>71.900000000000006</v>
      </c>
      <c r="K6" s="9">
        <v>13.9</v>
      </c>
      <c r="L6" s="9">
        <v>85.9</v>
      </c>
    </row>
    <row r="7" spans="1:12" ht="53" customHeight="1">
      <c r="A7" s="7" t="s">
        <v>13</v>
      </c>
      <c r="B7" s="8">
        <v>3191</v>
      </c>
      <c r="C7" s="8" t="s">
        <v>12</v>
      </c>
      <c r="D7" s="9">
        <v>17.600000000000001</v>
      </c>
      <c r="E7" s="9">
        <v>9.6999999999999993</v>
      </c>
      <c r="F7" s="9">
        <v>5.0999999999999996</v>
      </c>
      <c r="G7" s="9">
        <v>4.9000000000000004</v>
      </c>
      <c r="H7" s="9">
        <v>22.9</v>
      </c>
      <c r="I7" s="9">
        <v>89.6</v>
      </c>
      <c r="J7" s="10">
        <f t="shared" si="0"/>
        <v>78.2</v>
      </c>
      <c r="K7" s="9">
        <v>11.4</v>
      </c>
      <c r="L7" s="9">
        <v>94.8</v>
      </c>
    </row>
    <row r="8" spans="1:12" ht="53" customHeight="1">
      <c r="A8" s="7" t="s">
        <v>13</v>
      </c>
      <c r="B8" s="8">
        <v>3185</v>
      </c>
      <c r="C8" s="8" t="s">
        <v>14</v>
      </c>
      <c r="D8" s="9">
        <v>17.7</v>
      </c>
      <c r="E8" s="9">
        <v>9.8000000000000007</v>
      </c>
      <c r="F8" s="9">
        <v>5.2</v>
      </c>
      <c r="G8" s="9">
        <v>4.9000000000000004</v>
      </c>
      <c r="H8" s="9">
        <v>24.1</v>
      </c>
      <c r="I8" s="9">
        <v>88.4</v>
      </c>
      <c r="J8" s="10">
        <f t="shared" si="0"/>
        <v>78.8</v>
      </c>
      <c r="K8" s="9">
        <v>9.6</v>
      </c>
      <c r="L8" s="9">
        <v>96.3</v>
      </c>
    </row>
    <row r="9" spans="1:12" ht="53" customHeight="1">
      <c r="A9" s="7" t="s">
        <v>13</v>
      </c>
      <c r="B9" s="8">
        <v>3218</v>
      </c>
      <c r="C9" s="8" t="s">
        <v>15</v>
      </c>
      <c r="D9" s="9">
        <v>15.5</v>
      </c>
      <c r="E9" s="9">
        <v>9.3000000000000007</v>
      </c>
      <c r="F9" s="9">
        <v>4.7</v>
      </c>
      <c r="G9" s="9">
        <v>4.2</v>
      </c>
      <c r="H9" s="9">
        <v>21.9</v>
      </c>
      <c r="I9" s="9">
        <v>85</v>
      </c>
      <c r="J9" s="10">
        <f t="shared" si="0"/>
        <v>70.900000000000006</v>
      </c>
      <c r="K9" s="9">
        <v>14.1</v>
      </c>
      <c r="L9" s="9">
        <v>98.9</v>
      </c>
    </row>
    <row r="10" spans="1:12" ht="53" customHeight="1">
      <c r="A10" s="7" t="s">
        <v>13</v>
      </c>
      <c r="B10" s="8">
        <v>3200</v>
      </c>
      <c r="C10" s="8" t="s">
        <v>16</v>
      </c>
      <c r="D10" s="9">
        <v>17.2</v>
      </c>
      <c r="E10" s="9">
        <v>10.199999999999999</v>
      </c>
      <c r="F10" s="9">
        <v>5</v>
      </c>
      <c r="G10" s="9">
        <v>5.0999999999999996</v>
      </c>
      <c r="H10" s="9">
        <v>22.9</v>
      </c>
      <c r="I10" s="9">
        <v>85.4</v>
      </c>
      <c r="J10" s="10">
        <f t="shared" si="0"/>
        <v>72.7</v>
      </c>
      <c r="K10" s="9">
        <v>12.7</v>
      </c>
      <c r="L10" s="9">
        <v>82.5</v>
      </c>
    </row>
    <row r="11" spans="1:12" ht="53" customHeight="1">
      <c r="A11" s="7" t="s">
        <v>13</v>
      </c>
      <c r="B11" s="8">
        <v>3182</v>
      </c>
      <c r="C11" s="8" t="s">
        <v>12</v>
      </c>
      <c r="D11" s="9">
        <v>17.3</v>
      </c>
      <c r="E11" s="9">
        <v>9.1999999999999993</v>
      </c>
      <c r="F11" s="9">
        <v>4.5</v>
      </c>
      <c r="G11" s="9">
        <v>4.3</v>
      </c>
      <c r="H11" s="9">
        <v>23</v>
      </c>
      <c r="I11" s="9">
        <v>88.1</v>
      </c>
      <c r="J11" s="10">
        <f t="shared" si="0"/>
        <v>71.900000000000006</v>
      </c>
      <c r="K11" s="9">
        <v>16.2</v>
      </c>
      <c r="L11" s="9">
        <v>91.3</v>
      </c>
    </row>
    <row r="12" spans="1:12" ht="53" customHeight="1">
      <c r="A12" s="11" t="s">
        <v>17</v>
      </c>
      <c r="B12" s="8">
        <v>3070</v>
      </c>
      <c r="C12" s="8" t="s">
        <v>18</v>
      </c>
      <c r="D12" s="9">
        <v>19.7</v>
      </c>
      <c r="E12" s="9">
        <v>10.8</v>
      </c>
      <c r="F12" s="9">
        <v>4.7</v>
      </c>
      <c r="G12" s="9">
        <v>5.0999999999999996</v>
      </c>
      <c r="H12" s="9">
        <v>18.5</v>
      </c>
      <c r="I12" s="9">
        <v>96.4</v>
      </c>
      <c r="J12" s="10">
        <f t="shared" si="0"/>
        <v>73.099999999999994</v>
      </c>
      <c r="K12" s="9">
        <v>23.3</v>
      </c>
      <c r="L12" s="9">
        <v>98.2</v>
      </c>
    </row>
    <row r="13" spans="1:12" ht="53" customHeight="1">
      <c r="A13" s="11" t="s">
        <v>17</v>
      </c>
      <c r="B13" s="8">
        <v>3056</v>
      </c>
      <c r="C13" s="8" t="s">
        <v>11</v>
      </c>
      <c r="D13" s="9">
        <v>20.7</v>
      </c>
      <c r="E13" s="9">
        <v>13</v>
      </c>
      <c r="F13" s="9">
        <v>4.9000000000000004</v>
      </c>
      <c r="G13" s="9">
        <v>4.7</v>
      </c>
      <c r="H13" s="9">
        <v>17.399999999999999</v>
      </c>
      <c r="I13" s="9">
        <v>98.4</v>
      </c>
      <c r="J13" s="10">
        <f t="shared" si="0"/>
        <v>80.5</v>
      </c>
      <c r="K13" s="9">
        <v>17.899999999999999</v>
      </c>
      <c r="L13" s="9">
        <v>99.2</v>
      </c>
    </row>
    <row r="14" spans="1:12" ht="53" customHeight="1">
      <c r="A14" s="11" t="s">
        <v>17</v>
      </c>
      <c r="B14" s="8">
        <v>3068</v>
      </c>
      <c r="C14" s="8" t="s">
        <v>11</v>
      </c>
      <c r="D14" s="9">
        <v>20.5</v>
      </c>
      <c r="E14" s="9">
        <v>12.5</v>
      </c>
      <c r="F14" s="9">
        <v>4.9000000000000004</v>
      </c>
      <c r="G14" s="9">
        <v>5</v>
      </c>
      <c r="H14" s="9">
        <v>17</v>
      </c>
      <c r="I14" s="9">
        <v>100.2</v>
      </c>
      <c r="J14" s="10">
        <f t="shared" si="0"/>
        <v>80.2</v>
      </c>
      <c r="K14" s="9">
        <v>20</v>
      </c>
      <c r="L14" s="9">
        <v>96.3</v>
      </c>
    </row>
    <row r="15" spans="1:12" ht="53" customHeight="1">
      <c r="A15" s="11" t="s">
        <v>17</v>
      </c>
      <c r="B15" s="8">
        <v>3054</v>
      </c>
      <c r="C15" s="8" t="s">
        <v>11</v>
      </c>
      <c r="D15" s="9">
        <v>20.8</v>
      </c>
      <c r="E15" s="9">
        <v>12.9</v>
      </c>
      <c r="F15" s="9">
        <v>4.8</v>
      </c>
      <c r="G15" s="9">
        <v>4.9000000000000004</v>
      </c>
      <c r="H15" s="9">
        <v>16.399999999999999</v>
      </c>
      <c r="I15" s="9">
        <v>94.8</v>
      </c>
      <c r="J15" s="10">
        <f t="shared" si="0"/>
        <v>76.099999999999994</v>
      </c>
      <c r="K15" s="9">
        <v>18.7</v>
      </c>
      <c r="L15" s="9">
        <v>89.7</v>
      </c>
    </row>
    <row r="16" spans="1:12" ht="53" customHeight="1">
      <c r="A16" s="11" t="s">
        <v>17</v>
      </c>
      <c r="B16" s="8">
        <v>3072</v>
      </c>
      <c r="C16" s="8" t="s">
        <v>19</v>
      </c>
      <c r="D16" s="9">
        <v>22.1</v>
      </c>
      <c r="E16" s="9">
        <v>13.2</v>
      </c>
      <c r="F16" s="9">
        <v>5.0999999999999996</v>
      </c>
      <c r="G16" s="9">
        <v>5</v>
      </c>
      <c r="H16" s="9">
        <v>18.8</v>
      </c>
      <c r="I16" s="9">
        <v>96.5</v>
      </c>
      <c r="J16" s="10">
        <f t="shared" si="0"/>
        <v>77.5</v>
      </c>
      <c r="K16" s="9">
        <v>19</v>
      </c>
      <c r="L16" s="9">
        <v>95.1</v>
      </c>
    </row>
    <row r="17" spans="1:12" ht="53" customHeight="1">
      <c r="A17" s="11" t="s">
        <v>20</v>
      </c>
      <c r="B17" s="8">
        <v>3040</v>
      </c>
      <c r="C17" s="8" t="s">
        <v>21</v>
      </c>
      <c r="D17" s="9">
        <v>20.9</v>
      </c>
      <c r="E17" s="9">
        <v>11.9</v>
      </c>
      <c r="F17" s="9">
        <v>7.4</v>
      </c>
      <c r="G17" s="9">
        <v>5</v>
      </c>
      <c r="H17" s="9">
        <v>21.9</v>
      </c>
      <c r="I17" s="9">
        <v>102.2</v>
      </c>
      <c r="J17" s="10">
        <f t="shared" si="0"/>
        <v>86.5</v>
      </c>
      <c r="K17" s="9">
        <v>15.7</v>
      </c>
      <c r="L17" s="9">
        <v>106.2</v>
      </c>
    </row>
    <row r="18" spans="1:12" ht="53" customHeight="1">
      <c r="A18" s="11" t="s">
        <v>20</v>
      </c>
      <c r="B18" s="8">
        <v>3028</v>
      </c>
      <c r="C18" s="8" t="s">
        <v>21</v>
      </c>
      <c r="D18" s="9">
        <v>19.399999999999999</v>
      </c>
      <c r="E18" s="9">
        <v>12.8</v>
      </c>
      <c r="F18" s="9">
        <v>7.6</v>
      </c>
      <c r="G18" s="9">
        <v>5.7</v>
      </c>
      <c r="H18" s="9">
        <v>22.3</v>
      </c>
      <c r="I18" s="9">
        <v>105.2</v>
      </c>
      <c r="J18" s="10">
        <f t="shared" si="0"/>
        <v>81.7</v>
      </c>
      <c r="K18" s="9">
        <v>23.5</v>
      </c>
      <c r="L18" s="9">
        <v>110.7</v>
      </c>
    </row>
    <row r="19" spans="1:12" ht="53" customHeight="1">
      <c r="A19" s="11" t="s">
        <v>20</v>
      </c>
      <c r="B19" s="8">
        <v>3038</v>
      </c>
      <c r="C19" s="8" t="s">
        <v>18</v>
      </c>
      <c r="D19" s="9">
        <v>20.6</v>
      </c>
      <c r="E19" s="9">
        <v>12.5</v>
      </c>
      <c r="F19" s="9">
        <v>7.9</v>
      </c>
      <c r="G19" s="9">
        <v>6.1</v>
      </c>
      <c r="H19" s="9">
        <v>22.2</v>
      </c>
      <c r="I19" s="9">
        <v>108.5</v>
      </c>
      <c r="J19" s="10">
        <f t="shared" si="0"/>
        <v>88.3</v>
      </c>
      <c r="K19" s="9">
        <v>20.2</v>
      </c>
      <c r="L19" s="9">
        <v>107.5</v>
      </c>
    </row>
    <row r="20" spans="1:12" ht="53" customHeight="1">
      <c r="A20" s="11" t="s">
        <v>20</v>
      </c>
      <c r="B20" s="8">
        <v>3026</v>
      </c>
      <c r="C20" s="8" t="s">
        <v>22</v>
      </c>
      <c r="D20" s="9">
        <v>22</v>
      </c>
      <c r="E20" s="9">
        <v>12.7</v>
      </c>
      <c r="F20" s="9">
        <v>7.7</v>
      </c>
      <c r="G20" s="9">
        <v>5.7</v>
      </c>
      <c r="H20" s="9">
        <v>21.5</v>
      </c>
      <c r="I20" s="9">
        <v>109.2</v>
      </c>
      <c r="J20" s="10">
        <f t="shared" si="0"/>
        <v>82.7</v>
      </c>
      <c r="K20" s="9">
        <v>26.5</v>
      </c>
      <c r="L20" s="9">
        <v>109.6</v>
      </c>
    </row>
    <row r="21" spans="1:12" ht="53" customHeight="1">
      <c r="A21" s="11" t="s">
        <v>20</v>
      </c>
      <c r="B21" s="8">
        <v>3037</v>
      </c>
      <c r="C21" s="8" t="s">
        <v>18</v>
      </c>
      <c r="D21" s="9">
        <v>20.5</v>
      </c>
      <c r="E21" s="9">
        <v>12</v>
      </c>
      <c r="F21" s="9">
        <v>7.3</v>
      </c>
      <c r="G21" s="9">
        <v>4.9000000000000004</v>
      </c>
      <c r="H21" s="9">
        <v>20.7</v>
      </c>
      <c r="I21" s="9">
        <v>91.3</v>
      </c>
      <c r="J21" s="10">
        <f t="shared" si="0"/>
        <v>78.2</v>
      </c>
      <c r="K21" s="9">
        <v>13.1</v>
      </c>
      <c r="L21" s="9">
        <v>104.8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Liu</cp:lastModifiedBy>
  <dcterms:created xsi:type="dcterms:W3CDTF">2023-05-12T11:15:00Z</dcterms:created>
  <dcterms:modified xsi:type="dcterms:W3CDTF">2026-03-11T12:56:27Z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C88D38FAE58A431CB99F1D77D31D4803_12</vt:lpwstr>
  </property>
  <property fmtid="{D5CDD505-2E9C-101B-9397-08002B2CF9AE}" pid="4" name="CalculationRule">
    <vt:i4>0</vt:i4>
  </property>
</Properties>
</file>