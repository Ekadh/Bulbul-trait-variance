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Holdings/"/>
    </mc:Choice>
  </mc:AlternateContent>
  <xr:revisionPtr revIDLastSave="0" documentId="13_ncr:1_{B85A5E7A-5931-DE4B-800B-B5000EF193BD}" xr6:coauthVersionLast="47" xr6:coauthVersionMax="47" xr10:uidLastSave="{00000000-0000-0000-0000-000000000000}"/>
  <bookViews>
    <workbookView xWindow="1580" yWindow="2000" windowWidth="26440" windowHeight="14280" xr2:uid="{C4C7C71C-19E0-2247-8E7D-B844CAD8A477}"/>
  </bookViews>
  <sheets>
    <sheet name="Sheet1" sheetId="1" r:id="rId1"/>
    <sheet name="League table" sheetId="2" r:id="rId2"/>
    <sheet name="Field si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3" l="1"/>
</calcChain>
</file>

<file path=xl/sharedStrings.xml><?xml version="1.0" encoding="utf-8"?>
<sst xmlns="http://schemas.openxmlformats.org/spreadsheetml/2006/main" count="523" uniqueCount="83">
  <si>
    <t>Sr. No</t>
  </si>
  <si>
    <t>Source/Collection</t>
  </si>
  <si>
    <t>UMMZ (Univeristy of Michigan Museum of Zoology)</t>
  </si>
  <si>
    <t>SMNH (Steinhardt Museum of Natural History)</t>
  </si>
  <si>
    <t>Field (China)</t>
  </si>
  <si>
    <t>UMZC (University Museum of Zoology Cambridge)</t>
  </si>
  <si>
    <t>FLMNH (Florida Museum of Natural History)</t>
  </si>
  <si>
    <t>ROM (Royal Ontario Museum)</t>
  </si>
  <si>
    <t>UPLB (University of the Philippines Los Baños</t>
  </si>
  <si>
    <t>VUW (Victoria University of Wellington)</t>
  </si>
  <si>
    <t>NMNH Philippines (National Museum of Natural History)</t>
  </si>
  <si>
    <t>UA (Universitas Andalas)</t>
  </si>
  <si>
    <t>NMNH Smithsonian</t>
  </si>
  <si>
    <t>HMNH (Harvard Museum of Natural History</t>
  </si>
  <si>
    <t>LSUMNS (Louisiana State Univeristy Museum of Natural Science)</t>
  </si>
  <si>
    <t>WFVZ (Western Foundation of Vertebrate Zoology)</t>
  </si>
  <si>
    <t>MZB (Museum Zoologicum Bogoriense)</t>
  </si>
  <si>
    <t>ANWC (Australian National Wildlife Collection)</t>
  </si>
  <si>
    <t>TBRI (Taiwan Biodiversity Research Institute</t>
  </si>
  <si>
    <t>AMNH (American Museum of Natural History)</t>
  </si>
  <si>
    <t>CNM (Colombo National Museum)</t>
  </si>
  <si>
    <t>QM (Queensland Museum)</t>
  </si>
  <si>
    <t>CUMV (Cornell University Museum of Vertebrates)</t>
  </si>
  <si>
    <t>Burke Museum/HKU</t>
  </si>
  <si>
    <t>Naturalis, Leiden</t>
  </si>
  <si>
    <t>Royal Belgian Institute for Natural Sciences (RBINS)</t>
  </si>
  <si>
    <t>Academy of Natural Sciences Philadelphia (ANSP)</t>
  </si>
  <si>
    <t>Dhaka University</t>
  </si>
  <si>
    <t>NA</t>
  </si>
  <si>
    <t>Specimen counts</t>
  </si>
  <si>
    <t>C</t>
  </si>
  <si>
    <t>LKCNHM (Lee Kong Chian Natural History Museum), Singapore</t>
  </si>
  <si>
    <t>P</t>
  </si>
  <si>
    <t>NMP (National Museum Prague)</t>
  </si>
  <si>
    <t>Field or Museum?</t>
  </si>
  <si>
    <t>M</t>
  </si>
  <si>
    <t>F</t>
  </si>
  <si>
    <t>NSM (National Science Museum), Thailand</t>
  </si>
  <si>
    <t>Expected sample size</t>
  </si>
  <si>
    <t>Latitude</t>
  </si>
  <si>
    <t>Longitude</t>
  </si>
  <si>
    <t>Preliminary or complete</t>
  </si>
  <si>
    <t>AVONET 2</t>
  </si>
  <si>
    <t>Y</t>
  </si>
  <si>
    <t>BNHS, Mumbai</t>
  </si>
  <si>
    <t>NHMUK, Tring</t>
  </si>
  <si>
    <t>N</t>
  </si>
  <si>
    <t>DNSM</t>
  </si>
  <si>
    <t>MMUM</t>
  </si>
  <si>
    <t>MNHN</t>
  </si>
  <si>
    <t>NHMD</t>
  </si>
  <si>
    <t>OUM</t>
  </si>
  <si>
    <t>RMNH</t>
  </si>
  <si>
    <t>SNHM</t>
  </si>
  <si>
    <t>ZFMK</t>
  </si>
  <si>
    <t>ZMB</t>
  </si>
  <si>
    <t>IISER Tirupati</t>
  </si>
  <si>
    <t>SYSU Guangzhou</t>
  </si>
  <si>
    <t>KU (Kansas University)</t>
  </si>
  <si>
    <t>UO (University of Okara)</t>
  </si>
  <si>
    <t>AMNH1</t>
  </si>
  <si>
    <t>LSUMNS1</t>
  </si>
  <si>
    <t>NHMUK1</t>
  </si>
  <si>
    <t>NMK, Kenya</t>
  </si>
  <si>
    <t>Lubango Museum</t>
  </si>
  <si>
    <t>UPLB (University of the Philippines Los Baños)</t>
  </si>
  <si>
    <t>PC</t>
  </si>
  <si>
    <t>Field (IISER Tirupati)</t>
  </si>
  <si>
    <t>University of Western Ontario</t>
  </si>
  <si>
    <t>Field (Equatorial Guinea)</t>
  </si>
  <si>
    <t>Field (Nigeria_Chima)</t>
  </si>
  <si>
    <t>Field (Zambia_Chima)</t>
  </si>
  <si>
    <t>Field (Thailand)</t>
  </si>
  <si>
    <t>Field (Malaysia)</t>
  </si>
  <si>
    <t>Field (Kenya)</t>
  </si>
  <si>
    <t>Field (Equatorial Guinea_1.0)</t>
  </si>
  <si>
    <t>Field (Ghana_1.0)</t>
  </si>
  <si>
    <t>Field (United Republic of Tanzania_1.0)</t>
  </si>
  <si>
    <t>Field (Zambia_1.0)</t>
  </si>
  <si>
    <t>Field (Malaysia_1.0)</t>
  </si>
  <si>
    <t>Field (Mozambique_1.0)</t>
  </si>
  <si>
    <t>Field (Indonesia_1.0)</t>
  </si>
  <si>
    <t>ZFMK1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</si>
</sst>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EF70-9A5F-3743-AAC8-23817F8C98EF}">
  <dimension ref="A1:I52"/>
  <sheetViews>
    <sheetView tabSelected="1" topLeftCell="A29" workbookViewId="0">
      <selection activeCell="D39" sqref="D39"/>
    </sheetView>
  </sheetViews>
  <sheetFormatPr baseColWidth="10" defaultRowHeight="16" x14ac:dyDescent="0.2"/>
  <cols>
    <col min="2" max="2" width="54.83203125" customWidth="1"/>
  </cols>
  <sheetData>
    <row r="1" spans="1:9" x14ac:dyDescent="0.2">
      <c r="A1" t="s">
        <v>0</v>
      </c>
      <c r="B1" t="s">
        <v>1</v>
      </c>
      <c r="C1" t="s">
        <v>29</v>
      </c>
      <c r="D1" t="s">
        <v>41</v>
      </c>
      <c r="E1" t="s">
        <v>38</v>
      </c>
      <c r="F1" t="s">
        <v>34</v>
      </c>
      <c r="G1" t="s">
        <v>39</v>
      </c>
      <c r="H1" t="s">
        <v>40</v>
      </c>
      <c r="I1" t="s">
        <v>42</v>
      </c>
    </row>
    <row r="2" spans="1:9" x14ac:dyDescent="0.2">
      <c r="A2">
        <v>1</v>
      </c>
      <c r="B2" t="s">
        <v>2</v>
      </c>
      <c r="C2">
        <v>689</v>
      </c>
      <c r="D2" t="s">
        <v>30</v>
      </c>
      <c r="E2" t="s">
        <v>28</v>
      </c>
      <c r="F2" t="s">
        <v>35</v>
      </c>
      <c r="G2">
        <v>42.2822223104138</v>
      </c>
      <c r="H2">
        <v>-83.733914191933295</v>
      </c>
      <c r="I2" t="s">
        <v>43</v>
      </c>
    </row>
    <row r="3" spans="1:9" x14ac:dyDescent="0.2">
      <c r="A3">
        <v>2</v>
      </c>
      <c r="B3" t="s">
        <v>3</v>
      </c>
      <c r="C3">
        <v>83</v>
      </c>
      <c r="D3" t="s">
        <v>30</v>
      </c>
      <c r="E3" t="s">
        <v>28</v>
      </c>
      <c r="F3" t="s">
        <v>35</v>
      </c>
      <c r="G3">
        <v>32.116186492631002</v>
      </c>
      <c r="H3">
        <v>34.807694901575502</v>
      </c>
      <c r="I3" t="s">
        <v>43</v>
      </c>
    </row>
    <row r="4" spans="1:9" x14ac:dyDescent="0.2">
      <c r="A4">
        <v>3</v>
      </c>
      <c r="B4" t="s">
        <v>4</v>
      </c>
      <c r="C4">
        <v>30</v>
      </c>
      <c r="D4" t="s">
        <v>30</v>
      </c>
      <c r="E4" t="s">
        <v>28</v>
      </c>
      <c r="F4" t="s">
        <v>36</v>
      </c>
      <c r="G4">
        <v>31.6313618324881</v>
      </c>
      <c r="H4">
        <v>120.81527090382799</v>
      </c>
      <c r="I4" t="s">
        <v>43</v>
      </c>
    </row>
    <row r="5" spans="1:9" x14ac:dyDescent="0.2">
      <c r="A5">
        <v>4</v>
      </c>
      <c r="B5" t="s">
        <v>5</v>
      </c>
      <c r="C5">
        <v>173</v>
      </c>
      <c r="D5" t="s">
        <v>30</v>
      </c>
      <c r="E5" t="s">
        <v>28</v>
      </c>
      <c r="F5" t="s">
        <v>35</v>
      </c>
      <c r="G5">
        <v>52.2051196016197</v>
      </c>
      <c r="H5">
        <v>0.120376016624788</v>
      </c>
      <c r="I5" t="s">
        <v>43</v>
      </c>
    </row>
    <row r="6" spans="1:9" x14ac:dyDescent="0.2">
      <c r="A6">
        <v>5</v>
      </c>
      <c r="B6" t="s">
        <v>31</v>
      </c>
      <c r="C6">
        <v>10</v>
      </c>
      <c r="D6" t="s">
        <v>32</v>
      </c>
      <c r="E6">
        <v>50</v>
      </c>
      <c r="F6" t="s">
        <v>35</v>
      </c>
      <c r="G6">
        <v>1.3016622982560699</v>
      </c>
      <c r="H6">
        <v>103.773633437348</v>
      </c>
      <c r="I6" t="s">
        <v>43</v>
      </c>
    </row>
    <row r="7" spans="1:9" x14ac:dyDescent="0.2">
      <c r="A7">
        <v>6</v>
      </c>
      <c r="B7" t="s">
        <v>6</v>
      </c>
      <c r="C7">
        <v>68</v>
      </c>
      <c r="D7" t="s">
        <v>30</v>
      </c>
      <c r="E7" t="s">
        <v>28</v>
      </c>
      <c r="F7" t="s">
        <v>35</v>
      </c>
      <c r="G7">
        <v>29.636035153861101</v>
      </c>
      <c r="H7">
        <v>-82.369846990962799</v>
      </c>
      <c r="I7" t="s">
        <v>43</v>
      </c>
    </row>
    <row r="8" spans="1:9" x14ac:dyDescent="0.2">
      <c r="A8">
        <v>7</v>
      </c>
      <c r="B8" t="s">
        <v>7</v>
      </c>
      <c r="C8">
        <v>492</v>
      </c>
      <c r="D8" t="s">
        <v>30</v>
      </c>
      <c r="E8" t="s">
        <v>28</v>
      </c>
      <c r="F8" t="s">
        <v>35</v>
      </c>
      <c r="G8">
        <v>43.667849290341501</v>
      </c>
      <c r="H8">
        <v>-79.394734209055102</v>
      </c>
      <c r="I8" t="s">
        <v>43</v>
      </c>
    </row>
    <row r="9" spans="1:9" x14ac:dyDescent="0.2">
      <c r="A9">
        <v>8</v>
      </c>
      <c r="B9" t="s">
        <v>57</v>
      </c>
      <c r="C9">
        <v>278</v>
      </c>
      <c r="D9" t="s">
        <v>30</v>
      </c>
      <c r="E9" t="s">
        <v>28</v>
      </c>
      <c r="F9" t="s">
        <v>35</v>
      </c>
      <c r="G9">
        <v>23.0967357563487</v>
      </c>
      <c r="H9">
        <v>113.29890445299201</v>
      </c>
      <c r="I9" t="s">
        <v>43</v>
      </c>
    </row>
    <row r="10" spans="1:9" x14ac:dyDescent="0.2">
      <c r="A10">
        <v>9</v>
      </c>
      <c r="B10" t="s">
        <v>33</v>
      </c>
      <c r="C10">
        <v>117</v>
      </c>
      <c r="D10" t="s">
        <v>30</v>
      </c>
      <c r="E10" t="s">
        <v>28</v>
      </c>
      <c r="F10" t="s">
        <v>35</v>
      </c>
      <c r="G10">
        <v>50.079101186887897</v>
      </c>
      <c r="H10">
        <v>14.430893981247401</v>
      </c>
      <c r="I10" t="s">
        <v>43</v>
      </c>
    </row>
    <row r="11" spans="1:9" x14ac:dyDescent="0.2">
      <c r="A11">
        <v>11</v>
      </c>
      <c r="B11" t="s">
        <v>58</v>
      </c>
      <c r="C11">
        <v>229</v>
      </c>
      <c r="D11" t="s">
        <v>32</v>
      </c>
      <c r="E11">
        <v>500</v>
      </c>
      <c r="F11" t="s">
        <v>35</v>
      </c>
      <c r="G11">
        <v>38.955804919650198</v>
      </c>
      <c r="H11">
        <v>-95.250562119383403</v>
      </c>
      <c r="I11" t="s">
        <v>43</v>
      </c>
    </row>
    <row r="12" spans="1:9" x14ac:dyDescent="0.2">
      <c r="A12">
        <v>12</v>
      </c>
      <c r="B12" t="s">
        <v>8</v>
      </c>
      <c r="C12">
        <v>1049</v>
      </c>
      <c r="D12" t="s">
        <v>30</v>
      </c>
      <c r="E12" t="s">
        <v>28</v>
      </c>
      <c r="F12" t="s">
        <v>35</v>
      </c>
      <c r="G12">
        <v>14.1572754757557</v>
      </c>
      <c r="H12">
        <v>121.23649776940501</v>
      </c>
      <c r="I12" t="s">
        <v>43</v>
      </c>
    </row>
    <row r="13" spans="1:9" x14ac:dyDescent="0.2">
      <c r="A13">
        <v>13</v>
      </c>
      <c r="B13" t="s">
        <v>9</v>
      </c>
      <c r="C13">
        <v>17</v>
      </c>
      <c r="D13" t="s">
        <v>30</v>
      </c>
      <c r="E13" t="s">
        <v>28</v>
      </c>
      <c r="F13" t="s">
        <v>35</v>
      </c>
      <c r="G13">
        <v>-41.289220738649199</v>
      </c>
      <c r="H13">
        <v>174.76809347603401</v>
      </c>
      <c r="I13" t="s">
        <v>43</v>
      </c>
    </row>
    <row r="14" spans="1:9" x14ac:dyDescent="0.2">
      <c r="A14">
        <v>14</v>
      </c>
      <c r="B14" t="s">
        <v>10</v>
      </c>
      <c r="C14">
        <v>237</v>
      </c>
      <c r="D14" t="s">
        <v>32</v>
      </c>
      <c r="E14">
        <v>500</v>
      </c>
      <c r="F14" t="s">
        <v>35</v>
      </c>
      <c r="G14">
        <v>14.649403686779801</v>
      </c>
      <c r="H14">
        <v>120.972112778897</v>
      </c>
      <c r="I14" t="s">
        <v>43</v>
      </c>
    </row>
    <row r="15" spans="1:9" x14ac:dyDescent="0.2">
      <c r="A15">
        <v>15</v>
      </c>
      <c r="B15" t="s">
        <v>11</v>
      </c>
      <c r="C15">
        <v>19</v>
      </c>
      <c r="D15" t="s">
        <v>30</v>
      </c>
      <c r="E15" t="s">
        <v>28</v>
      </c>
      <c r="F15" t="s">
        <v>35</v>
      </c>
      <c r="G15">
        <v>-0.880393493428274</v>
      </c>
      <c r="H15">
        <v>100.45852941698</v>
      </c>
      <c r="I15" t="s">
        <v>43</v>
      </c>
    </row>
    <row r="16" spans="1:9" x14ac:dyDescent="0.2">
      <c r="A16">
        <v>16</v>
      </c>
      <c r="B16" t="s">
        <v>12</v>
      </c>
      <c r="C16">
        <v>148</v>
      </c>
      <c r="D16" t="s">
        <v>30</v>
      </c>
      <c r="E16" t="s">
        <v>28</v>
      </c>
      <c r="F16" t="s">
        <v>35</v>
      </c>
      <c r="G16">
        <v>38.891416483630699</v>
      </c>
      <c r="H16">
        <v>-77.026108319386594</v>
      </c>
      <c r="I16" t="s">
        <v>43</v>
      </c>
    </row>
    <row r="17" spans="1:9" x14ac:dyDescent="0.2">
      <c r="A17">
        <v>17</v>
      </c>
      <c r="B17" t="s">
        <v>13</v>
      </c>
      <c r="C17" t="s">
        <v>28</v>
      </c>
      <c r="D17" t="s">
        <v>32</v>
      </c>
      <c r="E17">
        <v>100</v>
      </c>
      <c r="F17" t="s">
        <v>35</v>
      </c>
      <c r="G17">
        <v>42.3786610080085</v>
      </c>
      <c r="H17">
        <v>-71.1155468750257</v>
      </c>
      <c r="I17" t="s">
        <v>43</v>
      </c>
    </row>
    <row r="18" spans="1:9" x14ac:dyDescent="0.2">
      <c r="A18">
        <v>18</v>
      </c>
      <c r="B18" t="s">
        <v>14</v>
      </c>
      <c r="C18">
        <v>602</v>
      </c>
      <c r="D18" t="s">
        <v>30</v>
      </c>
      <c r="E18" t="s">
        <v>28</v>
      </c>
      <c r="F18" t="s">
        <v>35</v>
      </c>
      <c r="G18">
        <v>30.4155416685016</v>
      </c>
      <c r="H18">
        <v>-91.1799991179183</v>
      </c>
      <c r="I18" t="s">
        <v>43</v>
      </c>
    </row>
    <row r="19" spans="1:9" x14ac:dyDescent="0.2">
      <c r="A19">
        <v>19</v>
      </c>
      <c r="B19" t="s">
        <v>15</v>
      </c>
      <c r="C19">
        <v>39</v>
      </c>
      <c r="D19" t="s">
        <v>30</v>
      </c>
      <c r="E19" t="s">
        <v>28</v>
      </c>
      <c r="F19" t="s">
        <v>35</v>
      </c>
      <c r="G19">
        <v>34.208494964292797</v>
      </c>
      <c r="H19">
        <v>-119.039149698716</v>
      </c>
      <c r="I19" t="s">
        <v>43</v>
      </c>
    </row>
    <row r="20" spans="1:9" x14ac:dyDescent="0.2">
      <c r="A20">
        <v>20</v>
      </c>
      <c r="B20" t="s">
        <v>16</v>
      </c>
      <c r="C20" t="s">
        <v>28</v>
      </c>
      <c r="D20" t="s">
        <v>32</v>
      </c>
      <c r="E20">
        <v>50</v>
      </c>
      <c r="F20" t="s">
        <v>35</v>
      </c>
      <c r="G20">
        <v>-6.54813676109561</v>
      </c>
      <c r="H20">
        <v>106.79726378923201</v>
      </c>
      <c r="I20" t="s">
        <v>43</v>
      </c>
    </row>
    <row r="21" spans="1:9" x14ac:dyDescent="0.2">
      <c r="A21">
        <v>21</v>
      </c>
      <c r="B21" t="s">
        <v>17</v>
      </c>
      <c r="C21" t="s">
        <v>28</v>
      </c>
      <c r="D21" t="s">
        <v>32</v>
      </c>
      <c r="E21">
        <v>6</v>
      </c>
      <c r="F21" t="s">
        <v>35</v>
      </c>
      <c r="G21">
        <v>-35.220525471313202</v>
      </c>
      <c r="H21">
        <v>149.127766324893</v>
      </c>
      <c r="I21" t="s">
        <v>43</v>
      </c>
    </row>
    <row r="22" spans="1:9" x14ac:dyDescent="0.2">
      <c r="A22">
        <v>22</v>
      </c>
      <c r="B22" t="s">
        <v>18</v>
      </c>
      <c r="C22">
        <v>72</v>
      </c>
      <c r="D22" t="s">
        <v>30</v>
      </c>
      <c r="E22" t="s">
        <v>28</v>
      </c>
      <c r="F22" t="s">
        <v>35</v>
      </c>
      <c r="G22">
        <v>25.046246274819399</v>
      </c>
      <c r="H22">
        <v>121.613725601464</v>
      </c>
      <c r="I22" t="s">
        <v>43</v>
      </c>
    </row>
    <row r="23" spans="1:9" x14ac:dyDescent="0.2">
      <c r="A23">
        <v>23</v>
      </c>
      <c r="B23" t="s">
        <v>19</v>
      </c>
      <c r="C23">
        <v>266</v>
      </c>
      <c r="D23" t="s">
        <v>30</v>
      </c>
      <c r="E23" t="s">
        <v>28</v>
      </c>
      <c r="F23" t="s">
        <v>35</v>
      </c>
      <c r="G23">
        <v>40.781587796704898</v>
      </c>
      <c r="H23">
        <v>-73.974072286167399</v>
      </c>
      <c r="I23" t="s">
        <v>43</v>
      </c>
    </row>
    <row r="24" spans="1:9" x14ac:dyDescent="0.2">
      <c r="A24">
        <v>24</v>
      </c>
      <c r="B24" t="s">
        <v>20</v>
      </c>
      <c r="C24">
        <v>46</v>
      </c>
      <c r="D24" t="s">
        <v>32</v>
      </c>
      <c r="E24">
        <v>68</v>
      </c>
      <c r="F24" t="s">
        <v>35</v>
      </c>
      <c r="G24">
        <v>6.9125323011485396</v>
      </c>
      <c r="H24">
        <v>79.861123193287298</v>
      </c>
      <c r="I24" t="s">
        <v>43</v>
      </c>
    </row>
    <row r="25" spans="1:9" x14ac:dyDescent="0.2">
      <c r="A25">
        <v>25</v>
      </c>
      <c r="B25" t="s">
        <v>21</v>
      </c>
      <c r="C25" t="s">
        <v>28</v>
      </c>
      <c r="D25" t="s">
        <v>32</v>
      </c>
      <c r="E25">
        <v>23</v>
      </c>
      <c r="F25" t="s">
        <v>35</v>
      </c>
      <c r="G25">
        <v>-27.134411787983499</v>
      </c>
      <c r="H25">
        <v>153.04615186007101</v>
      </c>
      <c r="I25" t="s">
        <v>43</v>
      </c>
    </row>
    <row r="26" spans="1:9" x14ac:dyDescent="0.2">
      <c r="A26">
        <v>27</v>
      </c>
      <c r="B26" t="s">
        <v>59</v>
      </c>
      <c r="C26" t="s">
        <v>28</v>
      </c>
      <c r="D26" t="s">
        <v>32</v>
      </c>
      <c r="E26">
        <v>20</v>
      </c>
      <c r="F26" t="s">
        <v>35</v>
      </c>
      <c r="G26">
        <v>30.869201982735898</v>
      </c>
      <c r="H26">
        <v>73.567019122155898</v>
      </c>
      <c r="I26" t="s">
        <v>43</v>
      </c>
    </row>
    <row r="27" spans="1:9" x14ac:dyDescent="0.2">
      <c r="A27">
        <v>28</v>
      </c>
      <c r="B27" t="s">
        <v>22</v>
      </c>
      <c r="C27">
        <v>122</v>
      </c>
      <c r="D27" t="s">
        <v>30</v>
      </c>
      <c r="E27" t="s">
        <v>28</v>
      </c>
      <c r="F27" t="s">
        <v>35</v>
      </c>
      <c r="G27">
        <v>42.480049635733998</v>
      </c>
      <c r="H27">
        <v>-76.450907019198496</v>
      </c>
      <c r="I27" t="s">
        <v>43</v>
      </c>
    </row>
    <row r="28" spans="1:9" x14ac:dyDescent="0.2">
      <c r="A28">
        <v>29</v>
      </c>
      <c r="B28" t="s">
        <v>23</v>
      </c>
      <c r="C28">
        <v>54</v>
      </c>
      <c r="D28" t="s">
        <v>30</v>
      </c>
      <c r="E28" t="s">
        <v>28</v>
      </c>
      <c r="F28" t="s">
        <v>35</v>
      </c>
      <c r="G28">
        <v>47.660802549302701</v>
      </c>
      <c r="H28">
        <v>-122.311684534243</v>
      </c>
      <c r="I28" t="s">
        <v>43</v>
      </c>
    </row>
    <row r="29" spans="1:9" x14ac:dyDescent="0.2">
      <c r="A29">
        <v>30</v>
      </c>
      <c r="B29" t="s">
        <v>37</v>
      </c>
      <c r="C29" t="s">
        <v>28</v>
      </c>
      <c r="D29" t="s">
        <v>32</v>
      </c>
      <c r="E29">
        <v>500</v>
      </c>
      <c r="F29" t="s">
        <v>35</v>
      </c>
      <c r="G29">
        <v>14.048757173099</v>
      </c>
      <c r="H29">
        <v>100.717299316911</v>
      </c>
      <c r="I29" t="s">
        <v>43</v>
      </c>
    </row>
    <row r="30" spans="1:9" x14ac:dyDescent="0.2">
      <c r="A30">
        <v>31</v>
      </c>
      <c r="B30" t="s">
        <v>24</v>
      </c>
      <c r="C30">
        <v>217</v>
      </c>
      <c r="D30" t="s">
        <v>30</v>
      </c>
      <c r="E30" t="s">
        <v>28</v>
      </c>
      <c r="F30" t="s">
        <v>35</v>
      </c>
      <c r="G30">
        <v>52.165046334073899</v>
      </c>
      <c r="H30">
        <v>4.4732848948733501</v>
      </c>
      <c r="I30" t="s">
        <v>43</v>
      </c>
    </row>
    <row r="31" spans="1:9" x14ac:dyDescent="0.2">
      <c r="A31">
        <v>32</v>
      </c>
      <c r="B31" t="s">
        <v>25</v>
      </c>
      <c r="C31">
        <v>31</v>
      </c>
      <c r="D31" t="s">
        <v>30</v>
      </c>
      <c r="E31" t="s">
        <v>28</v>
      </c>
      <c r="F31" t="s">
        <v>35</v>
      </c>
      <c r="G31">
        <v>50.836883066516599</v>
      </c>
      <c r="H31">
        <v>4.3765998101308803</v>
      </c>
      <c r="I31" t="s">
        <v>43</v>
      </c>
    </row>
    <row r="32" spans="1:9" x14ac:dyDescent="0.2">
      <c r="A32">
        <v>33</v>
      </c>
      <c r="B32" t="s">
        <v>26</v>
      </c>
      <c r="C32">
        <v>183</v>
      </c>
      <c r="D32" t="s">
        <v>30</v>
      </c>
      <c r="E32" t="s">
        <v>28</v>
      </c>
      <c r="F32" t="s">
        <v>35</v>
      </c>
      <c r="G32">
        <v>39.960162816724903</v>
      </c>
      <c r="H32">
        <v>-75.171147610308296</v>
      </c>
      <c r="I32" t="s">
        <v>43</v>
      </c>
    </row>
    <row r="33" spans="1:9" x14ac:dyDescent="0.2">
      <c r="A33">
        <v>34</v>
      </c>
      <c r="B33" t="s">
        <v>27</v>
      </c>
      <c r="C33" t="s">
        <v>28</v>
      </c>
      <c r="D33" t="s">
        <v>32</v>
      </c>
      <c r="E33">
        <v>42</v>
      </c>
      <c r="F33" t="s">
        <v>35</v>
      </c>
      <c r="G33">
        <v>23.734164350120199</v>
      </c>
      <c r="H33">
        <v>90.392882279997593</v>
      </c>
      <c r="I33" t="s">
        <v>43</v>
      </c>
    </row>
    <row r="34" spans="1:9" x14ac:dyDescent="0.2">
      <c r="A34">
        <v>35</v>
      </c>
      <c r="B34" t="s">
        <v>56</v>
      </c>
      <c r="C34">
        <v>357</v>
      </c>
      <c r="D34" t="s">
        <v>30</v>
      </c>
      <c r="E34" t="s">
        <v>28</v>
      </c>
      <c r="F34" t="s">
        <v>36</v>
      </c>
      <c r="G34">
        <v>13.7472498876686</v>
      </c>
      <c r="H34">
        <v>79.597894056204098</v>
      </c>
      <c r="I34" t="s">
        <v>43</v>
      </c>
    </row>
    <row r="35" spans="1:9" x14ac:dyDescent="0.2">
      <c r="A35">
        <v>35</v>
      </c>
      <c r="B35" t="s">
        <v>44</v>
      </c>
      <c r="C35">
        <v>75</v>
      </c>
      <c r="D35" t="s">
        <v>30</v>
      </c>
      <c r="E35" t="s">
        <v>28</v>
      </c>
      <c r="F35" t="s">
        <v>35</v>
      </c>
      <c r="G35">
        <v>18.926457553362301</v>
      </c>
      <c r="H35">
        <v>72.833260166374302</v>
      </c>
      <c r="I35" t="s">
        <v>43</v>
      </c>
    </row>
    <row r="36" spans="1:9" x14ac:dyDescent="0.2">
      <c r="A36">
        <v>36</v>
      </c>
      <c r="B36" t="s">
        <v>45</v>
      </c>
      <c r="C36">
        <v>1000</v>
      </c>
      <c r="D36" t="s">
        <v>30</v>
      </c>
      <c r="E36" t="s">
        <v>28</v>
      </c>
      <c r="F36" t="s">
        <v>35</v>
      </c>
      <c r="G36">
        <v>51.790921147966998</v>
      </c>
      <c r="H36">
        <v>-0.66126046097243596</v>
      </c>
      <c r="I36" t="s">
        <v>43</v>
      </c>
    </row>
    <row r="37" spans="1:9" x14ac:dyDescent="0.2">
      <c r="A37">
        <v>37</v>
      </c>
      <c r="B37" t="s">
        <v>60</v>
      </c>
      <c r="C37">
        <v>13</v>
      </c>
      <c r="D37" t="s">
        <v>30</v>
      </c>
      <c r="E37" t="s">
        <v>28</v>
      </c>
      <c r="F37" t="s">
        <v>35</v>
      </c>
      <c r="G37">
        <v>40.781587796704898</v>
      </c>
      <c r="H37">
        <v>-73.974072286167399</v>
      </c>
      <c r="I37" t="s">
        <v>46</v>
      </c>
    </row>
    <row r="38" spans="1:9" x14ac:dyDescent="0.2">
      <c r="A38">
        <v>38</v>
      </c>
      <c r="B38" t="s">
        <v>47</v>
      </c>
      <c r="C38">
        <v>2</v>
      </c>
      <c r="D38" t="s">
        <v>30</v>
      </c>
      <c r="E38" t="s">
        <v>28</v>
      </c>
      <c r="F38" t="s">
        <v>35</v>
      </c>
      <c r="G38">
        <v>-29.8585833099044</v>
      </c>
      <c r="H38">
        <v>31.026665138121501</v>
      </c>
      <c r="I38" t="s">
        <v>46</v>
      </c>
    </row>
    <row r="39" spans="1:9" x14ac:dyDescent="0.2">
      <c r="A39">
        <v>39</v>
      </c>
      <c r="B39" t="s">
        <v>61</v>
      </c>
      <c r="C39">
        <v>1</v>
      </c>
      <c r="D39" t="s">
        <v>30</v>
      </c>
      <c r="E39" t="s">
        <v>28</v>
      </c>
      <c r="F39" t="s">
        <v>35</v>
      </c>
      <c r="G39">
        <v>30.4155416685016</v>
      </c>
      <c r="H39">
        <v>-91.1799991179183</v>
      </c>
      <c r="I39" t="s">
        <v>46</v>
      </c>
    </row>
    <row r="40" spans="1:9" x14ac:dyDescent="0.2">
      <c r="A40">
        <v>40</v>
      </c>
      <c r="B40" t="s">
        <v>48</v>
      </c>
      <c r="C40">
        <v>3</v>
      </c>
      <c r="D40" t="s">
        <v>30</v>
      </c>
      <c r="E40" t="s">
        <v>28</v>
      </c>
      <c r="F40" t="s">
        <v>35</v>
      </c>
      <c r="G40">
        <v>53.4705108688308</v>
      </c>
      <c r="H40">
        <v>-2.23926562038397</v>
      </c>
      <c r="I40" t="s">
        <v>46</v>
      </c>
    </row>
    <row r="41" spans="1:9" x14ac:dyDescent="0.2">
      <c r="A41">
        <v>41</v>
      </c>
      <c r="B41" t="s">
        <v>49</v>
      </c>
      <c r="C41">
        <v>3</v>
      </c>
      <c r="D41" t="s">
        <v>30</v>
      </c>
      <c r="E41" t="s">
        <v>28</v>
      </c>
      <c r="F41" t="s">
        <v>35</v>
      </c>
      <c r="G41">
        <v>48.843476254902903</v>
      </c>
      <c r="H41">
        <v>2.3561749336851898</v>
      </c>
      <c r="I41" t="s">
        <v>46</v>
      </c>
    </row>
    <row r="42" spans="1:9" x14ac:dyDescent="0.2">
      <c r="A42">
        <v>42</v>
      </c>
      <c r="B42" t="s">
        <v>50</v>
      </c>
      <c r="C42">
        <v>2</v>
      </c>
      <c r="D42" t="s">
        <v>30</v>
      </c>
      <c r="E42" t="s">
        <v>28</v>
      </c>
      <c r="F42" t="s">
        <v>35</v>
      </c>
      <c r="G42">
        <v>55.687504328468698</v>
      </c>
      <c r="H42">
        <v>12.576851733084601</v>
      </c>
      <c r="I42" t="s">
        <v>46</v>
      </c>
    </row>
    <row r="43" spans="1:9" x14ac:dyDescent="0.2">
      <c r="A43">
        <v>43</v>
      </c>
      <c r="B43" t="s">
        <v>62</v>
      </c>
      <c r="C43">
        <v>636</v>
      </c>
      <c r="D43" t="s">
        <v>30</v>
      </c>
      <c r="E43" t="s">
        <v>28</v>
      </c>
      <c r="F43" t="s">
        <v>35</v>
      </c>
      <c r="G43">
        <v>51.790921147966998</v>
      </c>
      <c r="H43">
        <v>-0.66126046097243596</v>
      </c>
      <c r="I43" t="s">
        <v>46</v>
      </c>
    </row>
    <row r="44" spans="1:9" x14ac:dyDescent="0.2">
      <c r="A44">
        <v>44</v>
      </c>
      <c r="B44" t="s">
        <v>51</v>
      </c>
      <c r="C44">
        <v>42</v>
      </c>
      <c r="D44" t="s">
        <v>30</v>
      </c>
      <c r="E44" t="s">
        <v>28</v>
      </c>
      <c r="F44" t="s">
        <v>35</v>
      </c>
      <c r="G44">
        <v>51.758782662335101</v>
      </c>
      <c r="H44">
        <v>-1.2554455456317899</v>
      </c>
      <c r="I44" t="s">
        <v>46</v>
      </c>
    </row>
    <row r="45" spans="1:9" x14ac:dyDescent="0.2">
      <c r="A45">
        <v>45</v>
      </c>
      <c r="B45" t="s">
        <v>52</v>
      </c>
      <c r="C45">
        <v>2</v>
      </c>
      <c r="D45" t="s">
        <v>30</v>
      </c>
      <c r="E45" t="s">
        <v>28</v>
      </c>
      <c r="F45" t="s">
        <v>35</v>
      </c>
      <c r="G45">
        <v>52.165046334073899</v>
      </c>
      <c r="H45">
        <v>4.4732848948733501</v>
      </c>
      <c r="I45" t="s">
        <v>46</v>
      </c>
    </row>
    <row r="46" spans="1:9" x14ac:dyDescent="0.2">
      <c r="A46">
        <v>46</v>
      </c>
      <c r="B46" t="s">
        <v>53</v>
      </c>
      <c r="C46">
        <v>2</v>
      </c>
      <c r="D46" t="s">
        <v>30</v>
      </c>
      <c r="E46" t="s">
        <v>28</v>
      </c>
      <c r="F46" t="s">
        <v>35</v>
      </c>
      <c r="G46">
        <v>31.235041393579099</v>
      </c>
      <c r="H46">
        <v>121.46267171453199</v>
      </c>
      <c r="I46" t="s">
        <v>46</v>
      </c>
    </row>
    <row r="47" spans="1:9" x14ac:dyDescent="0.2">
      <c r="A47">
        <v>47</v>
      </c>
      <c r="B47" t="s">
        <v>82</v>
      </c>
      <c r="C47">
        <v>83</v>
      </c>
      <c r="D47" t="s">
        <v>30</v>
      </c>
      <c r="E47" t="s">
        <v>28</v>
      </c>
      <c r="F47" t="s">
        <v>35</v>
      </c>
      <c r="G47">
        <v>50.722367246940202</v>
      </c>
      <c r="H47">
        <v>7.1135518254663301</v>
      </c>
      <c r="I47" t="s">
        <v>46</v>
      </c>
    </row>
    <row r="48" spans="1:9" x14ac:dyDescent="0.2">
      <c r="A48">
        <v>48</v>
      </c>
      <c r="B48" t="s">
        <v>55</v>
      </c>
      <c r="C48">
        <v>1</v>
      </c>
      <c r="D48" t="s">
        <v>30</v>
      </c>
      <c r="E48" t="s">
        <v>28</v>
      </c>
      <c r="F48" t="s">
        <v>35</v>
      </c>
      <c r="G48">
        <v>52.518084202434601</v>
      </c>
      <c r="H48">
        <v>13.3936798374943</v>
      </c>
      <c r="I48" t="s">
        <v>46</v>
      </c>
    </row>
    <row r="49" spans="1:9" x14ac:dyDescent="0.2">
      <c r="A49">
        <v>49</v>
      </c>
      <c r="B49" t="s">
        <v>63</v>
      </c>
      <c r="C49" t="s">
        <v>28</v>
      </c>
      <c r="D49" t="s">
        <v>32</v>
      </c>
      <c r="E49">
        <v>138</v>
      </c>
      <c r="F49" t="s">
        <v>35</v>
      </c>
      <c r="G49">
        <v>-1.27398187901968</v>
      </c>
      <c r="H49">
        <v>36.814441509752498</v>
      </c>
      <c r="I49" t="s">
        <v>43</v>
      </c>
    </row>
    <row r="50" spans="1:9" x14ac:dyDescent="0.2">
      <c r="A50">
        <v>50</v>
      </c>
      <c r="B50" t="s">
        <v>64</v>
      </c>
      <c r="C50">
        <v>490</v>
      </c>
      <c r="D50" t="s">
        <v>30</v>
      </c>
      <c r="E50" t="s">
        <v>28</v>
      </c>
      <c r="F50" t="s">
        <v>35</v>
      </c>
      <c r="G50">
        <v>-14.918092966486199</v>
      </c>
      <c r="H50">
        <v>13.48531966088</v>
      </c>
      <c r="I50" t="s">
        <v>43</v>
      </c>
    </row>
    <row r="51" spans="1:9" x14ac:dyDescent="0.2">
      <c r="A51">
        <v>51</v>
      </c>
      <c r="B51" t="s">
        <v>68</v>
      </c>
      <c r="C51">
        <v>4</v>
      </c>
      <c r="D51" t="s">
        <v>32</v>
      </c>
      <c r="E51">
        <v>20</v>
      </c>
      <c r="F51" t="s">
        <v>35</v>
      </c>
      <c r="G51">
        <v>43.009601022673898</v>
      </c>
      <c r="H51">
        <v>-81.273722871164296</v>
      </c>
      <c r="I51" t="s">
        <v>43</v>
      </c>
    </row>
    <row r="52" spans="1:9" x14ac:dyDescent="0.2">
      <c r="A52">
        <v>52</v>
      </c>
      <c r="B52" t="s">
        <v>54</v>
      </c>
      <c r="C52">
        <v>73</v>
      </c>
      <c r="D52" t="s">
        <v>30</v>
      </c>
      <c r="E52" t="s">
        <v>28</v>
      </c>
      <c r="F52" t="s">
        <v>35</v>
      </c>
      <c r="G52">
        <v>50.722367246940202</v>
      </c>
      <c r="H52">
        <v>7.1135518254663301</v>
      </c>
      <c r="I5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B1B8-AE8F-AA4D-B136-F87263A6B9CF}">
  <dimension ref="A1:F49"/>
  <sheetViews>
    <sheetView workbookViewId="0">
      <selection activeCell="C46" sqref="C46"/>
    </sheetView>
  </sheetViews>
  <sheetFormatPr baseColWidth="10" defaultRowHeight="16" x14ac:dyDescent="0.2"/>
  <cols>
    <col min="2" max="2" width="55.5" customWidth="1"/>
  </cols>
  <sheetData>
    <row r="1" spans="1:6" x14ac:dyDescent="0.2">
      <c r="A1" t="s">
        <v>0</v>
      </c>
      <c r="B1" t="s">
        <v>1</v>
      </c>
      <c r="C1" t="s">
        <v>29</v>
      </c>
      <c r="D1" t="s">
        <v>66</v>
      </c>
      <c r="E1" t="s">
        <v>38</v>
      </c>
      <c r="F1" t="s">
        <v>42</v>
      </c>
    </row>
    <row r="2" spans="1:6" x14ac:dyDescent="0.2">
      <c r="A2">
        <v>1</v>
      </c>
      <c r="B2" t="s">
        <v>2</v>
      </c>
      <c r="C2">
        <v>532</v>
      </c>
      <c r="D2" t="s">
        <v>30</v>
      </c>
      <c r="E2" t="s">
        <v>28</v>
      </c>
      <c r="F2" t="s">
        <v>43</v>
      </c>
    </row>
    <row r="3" spans="1:6" x14ac:dyDescent="0.2">
      <c r="A3">
        <v>2</v>
      </c>
      <c r="B3" t="s">
        <v>3</v>
      </c>
      <c r="C3">
        <v>83</v>
      </c>
      <c r="D3" t="s">
        <v>30</v>
      </c>
      <c r="E3" t="s">
        <v>28</v>
      </c>
      <c r="F3" t="s">
        <v>43</v>
      </c>
    </row>
    <row r="4" spans="1:6" x14ac:dyDescent="0.2">
      <c r="A4">
        <v>4</v>
      </c>
      <c r="B4" t="s">
        <v>5</v>
      </c>
      <c r="C4">
        <v>84</v>
      </c>
      <c r="D4" t="s">
        <v>30</v>
      </c>
      <c r="E4" t="s">
        <v>28</v>
      </c>
      <c r="F4" t="s">
        <v>43</v>
      </c>
    </row>
    <row r="5" spans="1:6" x14ac:dyDescent="0.2">
      <c r="A5">
        <v>5</v>
      </c>
      <c r="B5" t="s">
        <v>31</v>
      </c>
      <c r="C5">
        <v>50</v>
      </c>
      <c r="D5" t="s">
        <v>32</v>
      </c>
      <c r="E5">
        <v>50</v>
      </c>
      <c r="F5" t="s">
        <v>43</v>
      </c>
    </row>
    <row r="6" spans="1:6" x14ac:dyDescent="0.2">
      <c r="A6">
        <v>6</v>
      </c>
      <c r="B6" t="s">
        <v>6</v>
      </c>
      <c r="C6">
        <v>100</v>
      </c>
      <c r="D6" t="s">
        <v>32</v>
      </c>
      <c r="E6">
        <v>100</v>
      </c>
      <c r="F6" t="s">
        <v>43</v>
      </c>
    </row>
    <row r="7" spans="1:6" x14ac:dyDescent="0.2">
      <c r="A7">
        <v>7</v>
      </c>
      <c r="B7" t="s">
        <v>7</v>
      </c>
      <c r="C7">
        <v>492</v>
      </c>
      <c r="D7" t="s">
        <v>30</v>
      </c>
      <c r="E7" t="s">
        <v>28</v>
      </c>
      <c r="F7" t="s">
        <v>43</v>
      </c>
    </row>
    <row r="8" spans="1:6" x14ac:dyDescent="0.2">
      <c r="A8">
        <v>8</v>
      </c>
      <c r="B8" t="s">
        <v>57</v>
      </c>
      <c r="C8">
        <v>236</v>
      </c>
      <c r="D8" t="s">
        <v>30</v>
      </c>
      <c r="E8" t="s">
        <v>28</v>
      </c>
      <c r="F8" t="s">
        <v>43</v>
      </c>
    </row>
    <row r="9" spans="1:6" x14ac:dyDescent="0.2">
      <c r="A9">
        <v>9</v>
      </c>
      <c r="B9" t="s">
        <v>33</v>
      </c>
      <c r="C9">
        <v>117</v>
      </c>
      <c r="D9" t="s">
        <v>30</v>
      </c>
      <c r="E9" t="s">
        <v>28</v>
      </c>
      <c r="F9" t="s">
        <v>43</v>
      </c>
    </row>
    <row r="10" spans="1:6" x14ac:dyDescent="0.2">
      <c r="A10">
        <v>11</v>
      </c>
      <c r="B10" t="s">
        <v>58</v>
      </c>
      <c r="C10">
        <v>500</v>
      </c>
      <c r="D10" t="s">
        <v>32</v>
      </c>
      <c r="E10">
        <v>500</v>
      </c>
      <c r="F10" t="s">
        <v>43</v>
      </c>
    </row>
    <row r="11" spans="1:6" x14ac:dyDescent="0.2">
      <c r="A11">
        <v>12</v>
      </c>
      <c r="B11" t="s">
        <v>65</v>
      </c>
      <c r="C11">
        <v>1183</v>
      </c>
      <c r="D11" t="s">
        <v>32</v>
      </c>
      <c r="E11">
        <v>1200</v>
      </c>
      <c r="F11" t="s">
        <v>43</v>
      </c>
    </row>
    <row r="12" spans="1:6" x14ac:dyDescent="0.2">
      <c r="A12">
        <v>13</v>
      </c>
      <c r="B12" t="s">
        <v>9</v>
      </c>
      <c r="C12">
        <v>17</v>
      </c>
      <c r="D12" t="s">
        <v>30</v>
      </c>
      <c r="E12" t="s">
        <v>28</v>
      </c>
      <c r="F12" t="s">
        <v>43</v>
      </c>
    </row>
    <row r="13" spans="1:6" x14ac:dyDescent="0.2">
      <c r="A13">
        <v>14</v>
      </c>
      <c r="B13" t="s">
        <v>10</v>
      </c>
      <c r="C13">
        <v>500</v>
      </c>
      <c r="D13" t="s">
        <v>32</v>
      </c>
      <c r="E13">
        <v>500</v>
      </c>
      <c r="F13" t="s">
        <v>43</v>
      </c>
    </row>
    <row r="14" spans="1:6" x14ac:dyDescent="0.2">
      <c r="A14">
        <v>15</v>
      </c>
      <c r="B14" t="s">
        <v>11</v>
      </c>
      <c r="C14">
        <v>19</v>
      </c>
      <c r="D14" t="s">
        <v>30</v>
      </c>
      <c r="E14" t="s">
        <v>28</v>
      </c>
      <c r="F14" t="s">
        <v>43</v>
      </c>
    </row>
    <row r="15" spans="1:6" x14ac:dyDescent="0.2">
      <c r="A15">
        <v>16</v>
      </c>
      <c r="B15" t="s">
        <v>12</v>
      </c>
      <c r="C15">
        <v>300</v>
      </c>
      <c r="D15" t="s">
        <v>32</v>
      </c>
      <c r="E15">
        <v>300</v>
      </c>
      <c r="F15" t="s">
        <v>43</v>
      </c>
    </row>
    <row r="16" spans="1:6" x14ac:dyDescent="0.2">
      <c r="A16">
        <v>17</v>
      </c>
      <c r="B16" t="s">
        <v>13</v>
      </c>
      <c r="C16">
        <v>100</v>
      </c>
      <c r="D16" t="s">
        <v>32</v>
      </c>
      <c r="E16">
        <v>100</v>
      </c>
      <c r="F16" t="s">
        <v>43</v>
      </c>
    </row>
    <row r="17" spans="1:6" x14ac:dyDescent="0.2">
      <c r="A17">
        <v>18</v>
      </c>
      <c r="B17" t="s">
        <v>14</v>
      </c>
      <c r="C17">
        <v>501</v>
      </c>
      <c r="D17" t="s">
        <v>30</v>
      </c>
      <c r="E17" t="s">
        <v>28</v>
      </c>
      <c r="F17" t="s">
        <v>43</v>
      </c>
    </row>
    <row r="18" spans="1:6" x14ac:dyDescent="0.2">
      <c r="A18">
        <v>19</v>
      </c>
      <c r="B18" t="s">
        <v>15</v>
      </c>
      <c r="C18">
        <v>29</v>
      </c>
      <c r="D18" t="s">
        <v>30</v>
      </c>
      <c r="E18" t="s">
        <v>28</v>
      </c>
      <c r="F18" t="s">
        <v>43</v>
      </c>
    </row>
    <row r="19" spans="1:6" x14ac:dyDescent="0.2">
      <c r="A19">
        <v>20</v>
      </c>
      <c r="B19" t="s">
        <v>16</v>
      </c>
      <c r="C19">
        <v>50</v>
      </c>
      <c r="D19" t="s">
        <v>32</v>
      </c>
      <c r="E19">
        <v>50</v>
      </c>
      <c r="F19" t="s">
        <v>43</v>
      </c>
    </row>
    <row r="20" spans="1:6" x14ac:dyDescent="0.2">
      <c r="A20">
        <v>21</v>
      </c>
      <c r="B20" t="s">
        <v>17</v>
      </c>
      <c r="C20">
        <v>6</v>
      </c>
      <c r="D20" t="s">
        <v>30</v>
      </c>
      <c r="E20">
        <v>6</v>
      </c>
      <c r="F20" t="s">
        <v>43</v>
      </c>
    </row>
    <row r="21" spans="1:6" x14ac:dyDescent="0.2">
      <c r="A21">
        <v>22</v>
      </c>
      <c r="B21" t="s">
        <v>18</v>
      </c>
      <c r="C21">
        <v>72</v>
      </c>
      <c r="D21" t="s">
        <v>30</v>
      </c>
      <c r="E21" t="s">
        <v>28</v>
      </c>
      <c r="F21" t="s">
        <v>43</v>
      </c>
    </row>
    <row r="22" spans="1:6" x14ac:dyDescent="0.2">
      <c r="A22">
        <v>23</v>
      </c>
      <c r="B22" t="s">
        <v>19</v>
      </c>
      <c r="C22">
        <v>200</v>
      </c>
      <c r="D22" t="s">
        <v>32</v>
      </c>
      <c r="E22">
        <v>300</v>
      </c>
      <c r="F22" t="s">
        <v>43</v>
      </c>
    </row>
    <row r="23" spans="1:6" x14ac:dyDescent="0.2">
      <c r="A23">
        <v>24</v>
      </c>
      <c r="B23" t="s">
        <v>20</v>
      </c>
      <c r="C23">
        <v>57</v>
      </c>
      <c r="D23" t="s">
        <v>32</v>
      </c>
      <c r="E23">
        <v>57</v>
      </c>
      <c r="F23" t="s">
        <v>43</v>
      </c>
    </row>
    <row r="24" spans="1:6" x14ac:dyDescent="0.2">
      <c r="A24">
        <v>25</v>
      </c>
      <c r="B24" t="s">
        <v>21</v>
      </c>
      <c r="C24">
        <v>23</v>
      </c>
      <c r="D24" t="s">
        <v>30</v>
      </c>
      <c r="E24" t="s">
        <v>28</v>
      </c>
      <c r="F24" t="s">
        <v>43</v>
      </c>
    </row>
    <row r="25" spans="1:6" x14ac:dyDescent="0.2">
      <c r="A25">
        <v>27</v>
      </c>
      <c r="B25" t="s">
        <v>59</v>
      </c>
      <c r="C25">
        <v>20</v>
      </c>
      <c r="D25" t="s">
        <v>32</v>
      </c>
      <c r="E25">
        <v>20</v>
      </c>
      <c r="F25" t="s">
        <v>43</v>
      </c>
    </row>
    <row r="26" spans="1:6" x14ac:dyDescent="0.2">
      <c r="A26">
        <v>28</v>
      </c>
      <c r="B26" t="s">
        <v>22</v>
      </c>
      <c r="C26">
        <v>122</v>
      </c>
      <c r="D26" t="s">
        <v>30</v>
      </c>
      <c r="E26" t="s">
        <v>28</v>
      </c>
      <c r="F26" t="s">
        <v>43</v>
      </c>
    </row>
    <row r="27" spans="1:6" x14ac:dyDescent="0.2">
      <c r="A27">
        <v>29</v>
      </c>
      <c r="B27" t="s">
        <v>23</v>
      </c>
      <c r="C27">
        <v>100</v>
      </c>
      <c r="D27" t="s">
        <v>32</v>
      </c>
      <c r="E27">
        <v>100</v>
      </c>
      <c r="F27" t="s">
        <v>43</v>
      </c>
    </row>
    <row r="28" spans="1:6" x14ac:dyDescent="0.2">
      <c r="A28">
        <v>30</v>
      </c>
      <c r="B28" t="s">
        <v>37</v>
      </c>
      <c r="C28">
        <v>500</v>
      </c>
      <c r="D28" t="s">
        <v>32</v>
      </c>
      <c r="E28">
        <v>900</v>
      </c>
      <c r="F28" t="s">
        <v>43</v>
      </c>
    </row>
    <row r="29" spans="1:6" x14ac:dyDescent="0.2">
      <c r="A29">
        <v>31</v>
      </c>
      <c r="B29" t="s">
        <v>24</v>
      </c>
      <c r="C29">
        <v>49</v>
      </c>
      <c r="D29" t="s">
        <v>30</v>
      </c>
      <c r="E29" t="s">
        <v>28</v>
      </c>
      <c r="F29" t="s">
        <v>43</v>
      </c>
    </row>
    <row r="30" spans="1:6" x14ac:dyDescent="0.2">
      <c r="A30">
        <v>32</v>
      </c>
      <c r="B30" t="s">
        <v>25</v>
      </c>
      <c r="C30">
        <v>20</v>
      </c>
      <c r="D30" t="s">
        <v>32</v>
      </c>
      <c r="E30">
        <v>20</v>
      </c>
      <c r="F30" t="s">
        <v>43</v>
      </c>
    </row>
    <row r="31" spans="1:6" x14ac:dyDescent="0.2">
      <c r="A31">
        <v>33</v>
      </c>
      <c r="B31" t="s">
        <v>26</v>
      </c>
      <c r="C31">
        <v>100</v>
      </c>
      <c r="D31" t="s">
        <v>32</v>
      </c>
      <c r="E31">
        <v>100</v>
      </c>
      <c r="F31" t="s">
        <v>43</v>
      </c>
    </row>
    <row r="32" spans="1:6" x14ac:dyDescent="0.2">
      <c r="A32">
        <v>34</v>
      </c>
      <c r="B32" t="s">
        <v>27</v>
      </c>
      <c r="C32">
        <v>42</v>
      </c>
      <c r="D32" t="s">
        <v>32</v>
      </c>
      <c r="E32">
        <v>42</v>
      </c>
      <c r="F32" t="s">
        <v>43</v>
      </c>
    </row>
    <row r="33" spans="1:6" x14ac:dyDescent="0.2">
      <c r="A33">
        <v>35</v>
      </c>
      <c r="B33" t="s">
        <v>56</v>
      </c>
      <c r="C33">
        <v>357</v>
      </c>
      <c r="D33" t="s">
        <v>30</v>
      </c>
      <c r="E33" t="s">
        <v>28</v>
      </c>
      <c r="F33" t="s">
        <v>43</v>
      </c>
    </row>
    <row r="34" spans="1:6" x14ac:dyDescent="0.2">
      <c r="A34">
        <v>35</v>
      </c>
      <c r="B34" t="s">
        <v>44</v>
      </c>
      <c r="C34">
        <v>75</v>
      </c>
      <c r="D34" t="s">
        <v>30</v>
      </c>
      <c r="E34" t="s">
        <v>28</v>
      </c>
      <c r="F34" t="s">
        <v>43</v>
      </c>
    </row>
    <row r="35" spans="1:6" x14ac:dyDescent="0.2">
      <c r="A35">
        <v>36</v>
      </c>
      <c r="B35" t="s">
        <v>45</v>
      </c>
      <c r="C35">
        <v>1000</v>
      </c>
      <c r="D35" t="s">
        <v>30</v>
      </c>
      <c r="E35" t="s">
        <v>28</v>
      </c>
      <c r="F35" t="s">
        <v>43</v>
      </c>
    </row>
    <row r="36" spans="1:6" x14ac:dyDescent="0.2">
      <c r="A36">
        <v>37</v>
      </c>
      <c r="B36" t="s">
        <v>60</v>
      </c>
      <c r="C36">
        <v>13</v>
      </c>
      <c r="D36" t="s">
        <v>30</v>
      </c>
      <c r="E36" t="s">
        <v>28</v>
      </c>
      <c r="F36" t="s">
        <v>46</v>
      </c>
    </row>
    <row r="37" spans="1:6" x14ac:dyDescent="0.2">
      <c r="A37">
        <v>38</v>
      </c>
      <c r="B37" t="s">
        <v>47</v>
      </c>
      <c r="C37">
        <v>2</v>
      </c>
      <c r="D37" t="s">
        <v>30</v>
      </c>
      <c r="E37" t="s">
        <v>28</v>
      </c>
      <c r="F37" t="s">
        <v>46</v>
      </c>
    </row>
    <row r="38" spans="1:6" x14ac:dyDescent="0.2">
      <c r="A38">
        <v>39</v>
      </c>
      <c r="B38" t="s">
        <v>61</v>
      </c>
      <c r="C38">
        <v>1</v>
      </c>
      <c r="D38" t="s">
        <v>30</v>
      </c>
      <c r="E38" t="s">
        <v>28</v>
      </c>
      <c r="F38" t="s">
        <v>46</v>
      </c>
    </row>
    <row r="39" spans="1:6" x14ac:dyDescent="0.2">
      <c r="A39">
        <v>40</v>
      </c>
      <c r="B39" t="s">
        <v>48</v>
      </c>
      <c r="C39">
        <v>3</v>
      </c>
      <c r="D39" t="s">
        <v>30</v>
      </c>
      <c r="E39" t="s">
        <v>28</v>
      </c>
      <c r="F39" t="s">
        <v>46</v>
      </c>
    </row>
    <row r="40" spans="1:6" x14ac:dyDescent="0.2">
      <c r="A40">
        <v>41</v>
      </c>
      <c r="B40" t="s">
        <v>49</v>
      </c>
      <c r="C40">
        <v>3</v>
      </c>
      <c r="D40" t="s">
        <v>30</v>
      </c>
      <c r="E40" t="s">
        <v>28</v>
      </c>
      <c r="F40" t="s">
        <v>46</v>
      </c>
    </row>
    <row r="41" spans="1:6" x14ac:dyDescent="0.2">
      <c r="A41">
        <v>42</v>
      </c>
      <c r="B41" t="s">
        <v>50</v>
      </c>
      <c r="C41">
        <v>2</v>
      </c>
      <c r="D41" t="s">
        <v>30</v>
      </c>
      <c r="E41" t="s">
        <v>28</v>
      </c>
      <c r="F41" t="s">
        <v>46</v>
      </c>
    </row>
    <row r="42" spans="1:6" x14ac:dyDescent="0.2">
      <c r="A42">
        <v>43</v>
      </c>
      <c r="B42" t="s">
        <v>62</v>
      </c>
      <c r="C42">
        <v>636</v>
      </c>
      <c r="D42" t="s">
        <v>30</v>
      </c>
      <c r="E42" t="s">
        <v>28</v>
      </c>
      <c r="F42" t="s">
        <v>46</v>
      </c>
    </row>
    <row r="43" spans="1:6" x14ac:dyDescent="0.2">
      <c r="A43">
        <v>44</v>
      </c>
      <c r="B43" t="s">
        <v>51</v>
      </c>
      <c r="C43">
        <v>42</v>
      </c>
      <c r="D43" t="s">
        <v>30</v>
      </c>
      <c r="E43" t="s">
        <v>28</v>
      </c>
      <c r="F43" t="s">
        <v>46</v>
      </c>
    </row>
    <row r="44" spans="1:6" x14ac:dyDescent="0.2">
      <c r="A44">
        <v>45</v>
      </c>
      <c r="B44" t="s">
        <v>52</v>
      </c>
      <c r="C44">
        <v>2</v>
      </c>
      <c r="D44" t="s">
        <v>30</v>
      </c>
      <c r="E44" t="s">
        <v>28</v>
      </c>
      <c r="F44" t="s">
        <v>46</v>
      </c>
    </row>
    <row r="45" spans="1:6" x14ac:dyDescent="0.2">
      <c r="A45">
        <v>46</v>
      </c>
      <c r="B45" t="s">
        <v>53</v>
      </c>
      <c r="C45">
        <v>2</v>
      </c>
      <c r="D45" t="s">
        <v>30</v>
      </c>
      <c r="E45" t="s">
        <v>28</v>
      </c>
      <c r="F45" t="s">
        <v>46</v>
      </c>
    </row>
    <row r="46" spans="1:6" x14ac:dyDescent="0.2">
      <c r="A46">
        <v>47</v>
      </c>
      <c r="B46" t="s">
        <v>54</v>
      </c>
      <c r="C46">
        <v>83</v>
      </c>
      <c r="D46" t="s">
        <v>30</v>
      </c>
      <c r="E46" t="s">
        <v>28</v>
      </c>
      <c r="F46" t="s">
        <v>46</v>
      </c>
    </row>
    <row r="47" spans="1:6" x14ac:dyDescent="0.2">
      <c r="A47">
        <v>48</v>
      </c>
      <c r="B47" t="s">
        <v>55</v>
      </c>
      <c r="C47">
        <v>1</v>
      </c>
      <c r="D47" t="s">
        <v>30</v>
      </c>
      <c r="E47" t="s">
        <v>28</v>
      </c>
      <c r="F47" t="s">
        <v>46</v>
      </c>
    </row>
    <row r="48" spans="1:6" x14ac:dyDescent="0.2">
      <c r="A48">
        <v>49</v>
      </c>
      <c r="B48" t="s">
        <v>63</v>
      </c>
      <c r="C48">
        <v>138</v>
      </c>
      <c r="D48" t="s">
        <v>32</v>
      </c>
      <c r="E48">
        <v>138</v>
      </c>
      <c r="F48" t="s">
        <v>43</v>
      </c>
    </row>
    <row r="49" spans="1:6" x14ac:dyDescent="0.2">
      <c r="A49">
        <v>50</v>
      </c>
      <c r="B49" t="s">
        <v>64</v>
      </c>
      <c r="C49">
        <v>490</v>
      </c>
      <c r="D49" t="s">
        <v>30</v>
      </c>
      <c r="E49" t="s">
        <v>28</v>
      </c>
      <c r="F4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37B5-50A5-E14E-8028-BD9D573F05B3}">
  <dimension ref="A1:I17"/>
  <sheetViews>
    <sheetView workbookViewId="0">
      <selection activeCell="F21" sqref="F2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29</v>
      </c>
      <c r="D1" t="s">
        <v>41</v>
      </c>
      <c r="E1" t="s">
        <v>38</v>
      </c>
      <c r="F1" t="s">
        <v>34</v>
      </c>
      <c r="G1" t="s">
        <v>39</v>
      </c>
      <c r="H1" t="s">
        <v>40</v>
      </c>
      <c r="I1" t="s">
        <v>42</v>
      </c>
    </row>
    <row r="2" spans="1:9" x14ac:dyDescent="0.2">
      <c r="A2">
        <v>1</v>
      </c>
      <c r="B2" t="s">
        <v>4</v>
      </c>
      <c r="C2">
        <v>30</v>
      </c>
      <c r="D2" t="s">
        <v>30</v>
      </c>
      <c r="E2" t="s">
        <v>28</v>
      </c>
      <c r="F2" t="s">
        <v>36</v>
      </c>
      <c r="G2">
        <v>31.6313618324881</v>
      </c>
      <c r="H2">
        <v>120.81527090382799</v>
      </c>
      <c r="I2" t="s">
        <v>43</v>
      </c>
    </row>
    <row r="3" spans="1:9" x14ac:dyDescent="0.2">
      <c r="A3">
        <v>2</v>
      </c>
      <c r="B3" t="s">
        <v>67</v>
      </c>
      <c r="C3">
        <v>357</v>
      </c>
      <c r="D3" t="s">
        <v>30</v>
      </c>
      <c r="E3" t="s">
        <v>28</v>
      </c>
      <c r="F3" t="s">
        <v>36</v>
      </c>
      <c r="G3">
        <v>13.7472498876686</v>
      </c>
      <c r="H3">
        <v>79.597894056204098</v>
      </c>
      <c r="I3" t="s">
        <v>43</v>
      </c>
    </row>
    <row r="4" spans="1:9" x14ac:dyDescent="0.2">
      <c r="A4">
        <v>3</v>
      </c>
      <c r="B4" t="s">
        <v>70</v>
      </c>
      <c r="C4">
        <v>1169</v>
      </c>
      <c r="D4" t="s">
        <v>30</v>
      </c>
      <c r="E4" t="s">
        <v>28</v>
      </c>
      <c r="F4" t="s">
        <v>36</v>
      </c>
      <c r="G4">
        <v>9.8771799999999992</v>
      </c>
      <c r="H4">
        <v>8.9792400000000008</v>
      </c>
      <c r="I4" t="s">
        <v>43</v>
      </c>
    </row>
    <row r="5" spans="1:9" x14ac:dyDescent="0.2">
      <c r="A5">
        <v>4</v>
      </c>
      <c r="B5" t="s">
        <v>69</v>
      </c>
      <c r="C5">
        <v>53</v>
      </c>
      <c r="D5" t="s">
        <v>30</v>
      </c>
      <c r="E5" t="s">
        <v>28</v>
      </c>
      <c r="F5" t="s">
        <v>36</v>
      </c>
      <c r="G5">
        <v>1.6134820000000001</v>
      </c>
      <c r="H5">
        <v>10.882453</v>
      </c>
      <c r="I5" t="s">
        <v>43</v>
      </c>
    </row>
    <row r="6" spans="1:9" x14ac:dyDescent="0.2">
      <c r="A6">
        <v>5</v>
      </c>
      <c r="B6" t="s">
        <v>71</v>
      </c>
      <c r="C6">
        <v>184</v>
      </c>
      <c r="D6" t="s">
        <v>30</v>
      </c>
      <c r="E6" t="s">
        <v>28</v>
      </c>
      <c r="F6" t="s">
        <v>36</v>
      </c>
      <c r="G6">
        <v>-16.808704121322599</v>
      </c>
      <c r="H6">
        <v>26.986449529706899</v>
      </c>
      <c r="I6" t="s">
        <v>43</v>
      </c>
    </row>
    <row r="7" spans="1:9" x14ac:dyDescent="0.2">
      <c r="A7">
        <v>6</v>
      </c>
      <c r="B7" t="s">
        <v>72</v>
      </c>
      <c r="C7">
        <v>2134</v>
      </c>
      <c r="D7" t="s">
        <v>30</v>
      </c>
      <c r="E7" t="s">
        <v>28</v>
      </c>
      <c r="F7" t="s">
        <v>36</v>
      </c>
      <c r="G7">
        <v>14.3109540738653</v>
      </c>
      <c r="H7">
        <v>101.53044149511599</v>
      </c>
      <c r="I7" t="s">
        <v>43</v>
      </c>
    </row>
    <row r="8" spans="1:9" x14ac:dyDescent="0.2">
      <c r="A8">
        <v>7</v>
      </c>
      <c r="B8" t="s">
        <v>73</v>
      </c>
      <c r="C8">
        <v>61</v>
      </c>
      <c r="D8" t="s">
        <v>30</v>
      </c>
      <c r="E8" t="s">
        <v>28</v>
      </c>
      <c r="F8" t="s">
        <v>36</v>
      </c>
      <c r="G8">
        <v>4.5984999999999996</v>
      </c>
      <c r="H8">
        <v>101.44019400000001</v>
      </c>
      <c r="I8" t="s">
        <v>43</v>
      </c>
    </row>
    <row r="9" spans="1:9" x14ac:dyDescent="0.2">
      <c r="A9">
        <v>8</v>
      </c>
      <c r="B9" t="s">
        <v>74</v>
      </c>
      <c r="C9">
        <v>89</v>
      </c>
      <c r="D9" t="s">
        <v>30</v>
      </c>
      <c r="E9" t="s">
        <v>28</v>
      </c>
      <c r="F9" t="s">
        <v>36</v>
      </c>
      <c r="G9">
        <v>0.30488560831545503</v>
      </c>
      <c r="H9">
        <v>34.878761191646099</v>
      </c>
      <c r="I9" t="s">
        <v>43</v>
      </c>
    </row>
    <row r="10" spans="1:9" x14ac:dyDescent="0.2">
      <c r="A10">
        <v>9</v>
      </c>
      <c r="B10" t="s">
        <v>75</v>
      </c>
      <c r="C10">
        <v>893</v>
      </c>
      <c r="D10" t="s">
        <v>30</v>
      </c>
      <c r="E10" t="s">
        <v>28</v>
      </c>
      <c r="F10" t="s">
        <v>36</v>
      </c>
      <c r="G10">
        <v>1.6134820000000001</v>
      </c>
      <c r="H10">
        <v>10.882453</v>
      </c>
      <c r="I10" t="s">
        <v>46</v>
      </c>
    </row>
    <row r="11" spans="1:9" x14ac:dyDescent="0.2">
      <c r="A11">
        <v>10</v>
      </c>
      <c r="B11" t="s">
        <v>76</v>
      </c>
      <c r="C11">
        <v>121</v>
      </c>
      <c r="D11" t="s">
        <v>30</v>
      </c>
      <c r="E11" t="s">
        <v>28</v>
      </c>
      <c r="F11" t="s">
        <v>36</v>
      </c>
      <c r="G11">
        <v>7.9179002711623898</v>
      </c>
      <c r="H11">
        <v>-1.1574159431062001</v>
      </c>
      <c r="I11" t="s">
        <v>46</v>
      </c>
    </row>
    <row r="12" spans="1:9" x14ac:dyDescent="0.2">
      <c r="A12">
        <v>11</v>
      </c>
      <c r="B12" t="s">
        <v>77</v>
      </c>
      <c r="C12">
        <v>110</v>
      </c>
      <c r="D12" t="s">
        <v>30</v>
      </c>
      <c r="E12" t="s">
        <v>28</v>
      </c>
      <c r="F12" t="s">
        <v>36</v>
      </c>
      <c r="G12">
        <v>-6.4753175814336696</v>
      </c>
      <c r="H12">
        <v>34.980692564635604</v>
      </c>
      <c r="I12" t="s">
        <v>46</v>
      </c>
    </row>
    <row r="13" spans="1:9" x14ac:dyDescent="0.2">
      <c r="A13">
        <v>12</v>
      </c>
      <c r="B13" t="s">
        <v>78</v>
      </c>
      <c r="C13">
        <v>51</v>
      </c>
      <c r="D13" t="s">
        <v>30</v>
      </c>
      <c r="E13" t="s">
        <v>28</v>
      </c>
      <c r="F13" t="s">
        <v>36</v>
      </c>
      <c r="G13">
        <v>-16.808704121322599</v>
      </c>
      <c r="H13">
        <v>26.986449529706899</v>
      </c>
      <c r="I13" t="s">
        <v>46</v>
      </c>
    </row>
    <row r="14" spans="1:9" x14ac:dyDescent="0.2">
      <c r="A14">
        <v>13</v>
      </c>
      <c r="B14" t="s">
        <v>79</v>
      </c>
      <c r="C14">
        <v>20</v>
      </c>
      <c r="D14" t="s">
        <v>30</v>
      </c>
      <c r="E14" t="s">
        <v>28</v>
      </c>
      <c r="F14" t="s">
        <v>36</v>
      </c>
      <c r="G14">
        <v>4.5984999999999996</v>
      </c>
      <c r="H14">
        <v>101.44019400000001</v>
      </c>
      <c r="I14" t="s">
        <v>46</v>
      </c>
    </row>
    <row r="15" spans="1:9" x14ac:dyDescent="0.2">
      <c r="A15">
        <v>14</v>
      </c>
      <c r="B15" t="s">
        <v>80</v>
      </c>
      <c r="C15">
        <v>13</v>
      </c>
      <c r="D15" t="s">
        <v>30</v>
      </c>
      <c r="E15" t="s">
        <v>28</v>
      </c>
      <c r="F15" t="s">
        <v>36</v>
      </c>
      <c r="G15">
        <v>-18.5865979146634</v>
      </c>
      <c r="H15">
        <v>34.937897765941798</v>
      </c>
      <c r="I15" t="s">
        <v>46</v>
      </c>
    </row>
    <row r="16" spans="1:9" x14ac:dyDescent="0.2">
      <c r="A16">
        <v>15</v>
      </c>
      <c r="B16" t="s">
        <v>81</v>
      </c>
      <c r="C16">
        <v>6</v>
      </c>
      <c r="D16" t="s">
        <v>30</v>
      </c>
      <c r="E16" t="s">
        <v>28</v>
      </c>
      <c r="F16" t="s">
        <v>36</v>
      </c>
      <c r="G16">
        <v>-7.4326110745669602</v>
      </c>
      <c r="H16">
        <v>111.381131232702</v>
      </c>
      <c r="I16" t="s">
        <v>46</v>
      </c>
    </row>
    <row r="17" spans="3:3" x14ac:dyDescent="0.2">
      <c r="C17">
        <f>SUM(C2:C9)</f>
        <v>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League table</vt:lpstr>
      <vt:lpstr>Field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2026-05-18T10:47:04Z</dcterms:created>
  <dcterms:modified xsi:type="dcterms:W3CDTF">2026-07-09T10:42:46Z</dcterms:modified>
</cp:coreProperties>
</file>